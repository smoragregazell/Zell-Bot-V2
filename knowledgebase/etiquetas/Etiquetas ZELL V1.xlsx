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tiago Moragrega\Desktop\documentos_zell_botv2\etiquetas\"/>
    </mc:Choice>
  </mc:AlternateContent>
  <xr:revisionPtr revIDLastSave="0" documentId="13_ncr:1_{954B4B76-95E7-48D5-AB05-7986C8A480BF}" xr6:coauthVersionLast="47" xr6:coauthVersionMax="47" xr10:uidLastSave="{00000000-0000-0000-0000-000000000000}"/>
  <bookViews>
    <workbookView xWindow="1020" yWindow="960" windowWidth="21600" windowHeight="11100" xr2:uid="{00000000-000D-0000-FFFF-FFFF00000000}"/>
  </bookViews>
  <sheets>
    <sheet name="Normal" sheetId="2" r:id="rId1"/>
  </sheets>
  <definedNames>
    <definedName name="_xlnm._FilterDatabase" localSheetId="0" hidden="1">Normal!$A$9:$H$348</definedName>
    <definedName name="Encabezado" localSheetId="0">Normal!$A$9:$E$9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nWJogZ0MXxC4EKYi6icI435w2tvATjmrR1viz8XEKp0="/>
    </ext>
  </extLst>
</workbook>
</file>

<file path=xl/calcChain.xml><?xml version="1.0" encoding="utf-8"?>
<calcChain xmlns="http://schemas.openxmlformats.org/spreadsheetml/2006/main">
  <c r="H1258" i="2" l="1"/>
  <c r="G1258" i="2"/>
  <c r="H1257" i="2"/>
  <c r="G1257" i="2"/>
  <c r="H1256" i="2"/>
  <c r="G1256" i="2"/>
  <c r="H1255" i="2"/>
  <c r="G1255" i="2"/>
  <c r="H1254" i="2"/>
  <c r="G1254" i="2"/>
  <c r="H1253" i="2"/>
  <c r="G1253" i="2"/>
  <c r="H1252" i="2"/>
  <c r="G1252" i="2"/>
  <c r="H1251" i="2"/>
  <c r="G1251" i="2"/>
  <c r="H1250" i="2"/>
  <c r="G1250" i="2"/>
  <c r="H1249" i="2"/>
  <c r="G1249" i="2"/>
  <c r="H1248" i="2"/>
  <c r="G1248" i="2"/>
  <c r="H1247" i="2"/>
  <c r="G1247" i="2"/>
  <c r="H1246" i="2"/>
  <c r="G1246" i="2"/>
  <c r="H1245" i="2"/>
  <c r="G1245" i="2"/>
  <c r="H1244" i="2"/>
  <c r="G1244" i="2"/>
  <c r="H1243" i="2"/>
  <c r="G1243" i="2"/>
  <c r="H1242" i="2"/>
  <c r="G1242" i="2"/>
  <c r="H1241" i="2"/>
  <c r="G1241" i="2"/>
  <c r="H1236" i="2"/>
  <c r="G1236" i="2"/>
  <c r="H1235" i="2"/>
  <c r="G1235" i="2"/>
  <c r="H1234" i="2"/>
  <c r="G1234" i="2"/>
  <c r="H1233" i="2"/>
  <c r="G1233" i="2"/>
  <c r="H1232" i="2"/>
  <c r="G1232" i="2"/>
  <c r="H1231" i="2"/>
  <c r="G1231" i="2"/>
  <c r="H1230" i="2"/>
  <c r="G1230" i="2"/>
  <c r="H1229" i="2"/>
  <c r="G1229" i="2"/>
  <c r="H1228" i="2"/>
  <c r="G1228" i="2"/>
  <c r="H1227" i="2"/>
  <c r="G1227" i="2"/>
  <c r="H1226" i="2"/>
  <c r="G1226" i="2"/>
  <c r="H1225" i="2"/>
  <c r="G1225" i="2"/>
  <c r="H1224" i="2"/>
  <c r="G1224" i="2"/>
  <c r="H1223" i="2"/>
  <c r="G1223" i="2"/>
  <c r="H1222" i="2"/>
  <c r="G1222" i="2"/>
  <c r="H1221" i="2"/>
  <c r="G1221" i="2"/>
  <c r="H1220" i="2"/>
  <c r="G1220" i="2"/>
  <c r="H1219" i="2"/>
  <c r="G1219" i="2"/>
  <c r="H1218" i="2"/>
  <c r="G1218" i="2"/>
  <c r="H1217" i="2"/>
  <c r="G1217" i="2"/>
  <c r="H1216" i="2"/>
  <c r="G1216" i="2"/>
  <c r="H1215" i="2"/>
  <c r="G1215" i="2"/>
  <c r="H1214" i="2"/>
  <c r="G1214" i="2"/>
  <c r="H1213" i="2"/>
  <c r="G1213" i="2"/>
  <c r="H1212" i="2"/>
  <c r="G1212" i="2"/>
  <c r="H1211" i="2"/>
  <c r="G1211" i="2"/>
  <c r="H1210" i="2"/>
  <c r="G1210" i="2"/>
  <c r="H1209" i="2"/>
  <c r="G1209" i="2"/>
  <c r="H1208" i="2"/>
  <c r="G1208" i="2"/>
  <c r="H1207" i="2"/>
  <c r="G1207" i="2"/>
  <c r="H1206" i="2"/>
  <c r="G1206" i="2"/>
  <c r="H1205" i="2"/>
  <c r="G1205" i="2"/>
  <c r="H1204" i="2"/>
  <c r="G1204" i="2"/>
  <c r="H1203" i="2"/>
  <c r="G1203" i="2"/>
  <c r="H1202" i="2"/>
  <c r="G1202" i="2"/>
  <c r="H1201" i="2"/>
  <c r="G1201" i="2"/>
  <c r="H1198" i="2"/>
  <c r="G1198" i="2"/>
  <c r="H1197" i="2"/>
  <c r="G1197" i="2"/>
  <c r="H1196" i="2"/>
  <c r="G1196" i="2"/>
  <c r="H1195" i="2"/>
  <c r="G1195" i="2"/>
  <c r="H1194" i="2"/>
  <c r="G1194" i="2"/>
  <c r="H1193" i="2"/>
  <c r="G1193" i="2"/>
  <c r="H1192" i="2"/>
  <c r="G1192" i="2"/>
  <c r="H1191" i="2"/>
  <c r="G1191" i="2"/>
  <c r="H1190" i="2"/>
  <c r="G1190" i="2"/>
  <c r="H1189" i="2"/>
  <c r="G1189" i="2"/>
  <c r="H1188" i="2"/>
  <c r="G1188" i="2"/>
  <c r="H1187" i="2"/>
  <c r="G1187" i="2"/>
  <c r="H1186" i="2"/>
  <c r="G1186" i="2"/>
  <c r="H1185" i="2"/>
  <c r="G1185" i="2"/>
  <c r="H1184" i="2"/>
  <c r="G1184" i="2"/>
  <c r="H1183" i="2"/>
  <c r="G1183" i="2"/>
  <c r="H1182" i="2"/>
  <c r="G1182" i="2"/>
  <c r="H1181" i="2"/>
  <c r="G1181" i="2"/>
  <c r="H1180" i="2"/>
  <c r="G1180" i="2"/>
  <c r="H1179" i="2"/>
  <c r="G1179" i="2"/>
  <c r="H1178" i="2"/>
  <c r="G1178" i="2"/>
  <c r="H1177" i="2"/>
  <c r="G1177" i="2"/>
  <c r="H1176" i="2"/>
  <c r="G1176" i="2"/>
  <c r="H1175" i="2"/>
  <c r="G1175" i="2"/>
  <c r="H1174" i="2"/>
  <c r="G1174" i="2"/>
  <c r="H1173" i="2"/>
  <c r="G1173" i="2"/>
  <c r="H1172" i="2"/>
  <c r="G1172" i="2"/>
  <c r="H1171" i="2"/>
  <c r="G1171" i="2"/>
  <c r="H1170" i="2"/>
  <c r="G1170" i="2"/>
  <c r="H1169" i="2"/>
  <c r="G1169" i="2"/>
  <c r="H1168" i="2"/>
  <c r="G1168" i="2"/>
  <c r="H1167" i="2"/>
  <c r="G1167" i="2"/>
  <c r="H1166" i="2"/>
  <c r="G1166" i="2"/>
  <c r="H1165" i="2"/>
  <c r="G1165" i="2"/>
  <c r="H1164" i="2"/>
  <c r="G1164" i="2"/>
  <c r="H1163" i="2"/>
  <c r="G1163" i="2"/>
  <c r="H1161" i="2"/>
  <c r="G1161" i="2"/>
  <c r="H1160" i="2"/>
  <c r="G1160" i="2"/>
  <c r="H1159" i="2"/>
  <c r="G1159" i="2"/>
  <c r="H1158" i="2"/>
  <c r="G1158" i="2"/>
  <c r="H1157" i="2"/>
  <c r="G1157" i="2"/>
  <c r="H1156" i="2"/>
  <c r="G1156" i="2"/>
  <c r="H1155" i="2"/>
  <c r="G1155" i="2"/>
  <c r="H1154" i="2"/>
  <c r="G1154" i="2"/>
  <c r="H1153" i="2"/>
  <c r="G1153" i="2"/>
  <c r="H1152" i="2"/>
  <c r="G1152" i="2"/>
  <c r="H1151" i="2"/>
  <c r="G1151" i="2"/>
  <c r="H1150" i="2"/>
  <c r="G1150" i="2"/>
  <c r="H1149" i="2"/>
  <c r="G1149" i="2"/>
  <c r="H1148" i="2"/>
  <c r="G1148" i="2"/>
  <c r="H1147" i="2"/>
  <c r="G1147" i="2"/>
  <c r="H1146" i="2"/>
  <c r="G1146" i="2"/>
  <c r="H1145" i="2"/>
  <c r="G1145" i="2"/>
  <c r="H1144" i="2"/>
  <c r="G1144" i="2"/>
  <c r="H1143" i="2"/>
  <c r="G1143" i="2"/>
  <c r="H1142" i="2"/>
  <c r="G1142" i="2"/>
  <c r="H1141" i="2"/>
  <c r="G1141" i="2"/>
  <c r="H1140" i="2"/>
  <c r="G1140" i="2"/>
  <c r="H1139" i="2"/>
  <c r="G1139" i="2"/>
  <c r="H1138" i="2"/>
  <c r="G1138" i="2"/>
  <c r="H1137" i="2"/>
  <c r="G1137" i="2"/>
  <c r="H1136" i="2"/>
  <c r="G1136" i="2"/>
  <c r="H1135" i="2"/>
  <c r="G1135" i="2"/>
  <c r="H1134" i="2"/>
  <c r="G1134" i="2"/>
  <c r="H1133" i="2"/>
  <c r="G1133" i="2"/>
  <c r="H1132" i="2"/>
  <c r="G1132" i="2"/>
  <c r="H1131" i="2"/>
  <c r="G1131" i="2"/>
  <c r="H1130" i="2"/>
  <c r="G1130" i="2"/>
  <c r="H1129" i="2"/>
  <c r="G1129" i="2"/>
  <c r="H1128" i="2"/>
  <c r="G1128" i="2"/>
  <c r="H1127" i="2"/>
  <c r="G1127" i="2"/>
  <c r="H1126" i="2"/>
  <c r="G1126" i="2"/>
  <c r="H1125" i="2"/>
  <c r="G1125" i="2"/>
  <c r="H1124" i="2"/>
  <c r="G1124" i="2"/>
  <c r="H1123" i="2"/>
  <c r="G1123" i="2"/>
  <c r="H1122" i="2"/>
  <c r="G1122" i="2"/>
  <c r="H1121" i="2"/>
  <c r="G1121" i="2"/>
  <c r="H1120" i="2"/>
  <c r="G1120" i="2"/>
  <c r="H1119" i="2"/>
  <c r="G1119" i="2"/>
  <c r="H1118" i="2"/>
  <c r="G1118" i="2"/>
  <c r="H1117" i="2"/>
  <c r="G1117" i="2"/>
  <c r="H1116" i="2"/>
  <c r="G1116" i="2"/>
  <c r="H1115" i="2"/>
  <c r="G1115" i="2"/>
  <c r="H1114" i="2"/>
  <c r="G1114" i="2"/>
  <c r="H1113" i="2"/>
  <c r="G1113" i="2"/>
  <c r="H1112" i="2"/>
  <c r="G1112" i="2"/>
  <c r="H1111" i="2"/>
  <c r="G1111" i="2"/>
  <c r="H1110" i="2"/>
  <c r="G1110" i="2"/>
  <c r="H1109" i="2"/>
  <c r="G1109" i="2"/>
  <c r="H1108" i="2"/>
  <c r="G1108" i="2"/>
  <c r="H1107" i="2"/>
  <c r="G1107" i="2"/>
  <c r="H1106" i="2"/>
  <c r="G1106" i="2"/>
  <c r="H1105" i="2"/>
  <c r="G1105" i="2"/>
  <c r="H1104" i="2"/>
  <c r="G1104" i="2"/>
  <c r="H1103" i="2"/>
  <c r="G1103" i="2"/>
  <c r="H1102" i="2"/>
  <c r="G1102" i="2"/>
  <c r="H1101" i="2"/>
  <c r="G1101" i="2"/>
  <c r="H1100" i="2"/>
  <c r="G1100" i="2"/>
  <c r="H1099" i="2"/>
  <c r="G1099" i="2"/>
  <c r="H1098" i="2"/>
  <c r="G1098" i="2"/>
  <c r="H1097" i="2"/>
  <c r="G1097" i="2"/>
  <c r="H1096" i="2"/>
  <c r="G1096" i="2"/>
  <c r="H1095" i="2"/>
  <c r="G1095" i="2"/>
  <c r="H1094" i="2"/>
  <c r="G1094" i="2"/>
  <c r="H1093" i="2"/>
  <c r="G1093" i="2"/>
  <c r="H1092" i="2"/>
  <c r="G1092" i="2"/>
  <c r="H1091" i="2"/>
  <c r="G1091" i="2"/>
  <c r="H1090" i="2"/>
  <c r="G1090" i="2"/>
  <c r="H1089" i="2"/>
  <c r="G1089" i="2"/>
  <c r="H1088" i="2"/>
  <c r="G1088" i="2"/>
  <c r="H1087" i="2"/>
  <c r="G1087" i="2"/>
  <c r="H1086" i="2"/>
  <c r="G1086" i="2"/>
  <c r="H1085" i="2"/>
  <c r="G1085" i="2"/>
  <c r="H1084" i="2"/>
  <c r="G1084" i="2"/>
  <c r="H1083" i="2"/>
  <c r="G1083" i="2"/>
  <c r="H1082" i="2"/>
  <c r="G1082" i="2"/>
  <c r="H758" i="2"/>
  <c r="G758" i="2"/>
  <c r="H757" i="2"/>
  <c r="G757" i="2"/>
  <c r="H756" i="2"/>
  <c r="G756" i="2"/>
  <c r="H754" i="2"/>
  <c r="G754" i="2"/>
  <c r="G753" i="2"/>
  <c r="G752" i="2"/>
  <c r="G751" i="2"/>
  <c r="G750" i="2"/>
  <c r="H749" i="2"/>
  <c r="G749" i="2"/>
  <c r="H748" i="2"/>
  <c r="G748" i="2"/>
  <c r="H747" i="2"/>
  <c r="G747" i="2"/>
  <c r="H746" i="2"/>
  <c r="G746" i="2"/>
  <c r="H745" i="2"/>
  <c r="G745" i="2"/>
  <c r="H744" i="2"/>
  <c r="G744" i="2"/>
  <c r="H743" i="2"/>
  <c r="G743" i="2"/>
  <c r="H742" i="2"/>
  <c r="G742" i="2"/>
  <c r="H741" i="2"/>
  <c r="G741" i="2"/>
  <c r="H740" i="2"/>
  <c r="G740" i="2"/>
  <c r="H739" i="2"/>
  <c r="G739" i="2"/>
  <c r="H738" i="2"/>
  <c r="G738" i="2"/>
  <c r="H737" i="2"/>
  <c r="G737" i="2"/>
  <c r="H736" i="2"/>
  <c r="G736" i="2"/>
  <c r="H735" i="2"/>
  <c r="G735" i="2"/>
  <c r="H734" i="2"/>
  <c r="G734" i="2"/>
  <c r="H733" i="2"/>
  <c r="G733" i="2"/>
  <c r="H732" i="2"/>
  <c r="G732" i="2"/>
  <c r="H731" i="2"/>
  <c r="G731" i="2"/>
  <c r="H730" i="2"/>
  <c r="G730" i="2"/>
  <c r="H729" i="2"/>
  <c r="G729" i="2"/>
  <c r="H728" i="2"/>
  <c r="G728" i="2"/>
  <c r="H727" i="2"/>
  <c r="G727" i="2"/>
  <c r="H726" i="2"/>
  <c r="G726" i="2"/>
  <c r="H725" i="2"/>
  <c r="G725" i="2"/>
  <c r="H724" i="2"/>
  <c r="G724" i="2"/>
  <c r="H723" i="2"/>
  <c r="G723" i="2"/>
  <c r="H722" i="2"/>
  <c r="G722" i="2"/>
  <c r="H721" i="2"/>
  <c r="G721" i="2"/>
  <c r="H720" i="2"/>
  <c r="G720" i="2"/>
  <c r="H719" i="2"/>
  <c r="G719" i="2"/>
  <c r="H718" i="2"/>
  <c r="G718" i="2"/>
  <c r="H717" i="2"/>
  <c r="G717" i="2"/>
  <c r="H716" i="2"/>
  <c r="G716" i="2"/>
  <c r="H714" i="2"/>
  <c r="G714" i="2"/>
  <c r="H713" i="2"/>
  <c r="G713" i="2"/>
  <c r="H711" i="2"/>
  <c r="G711" i="2"/>
  <c r="H710" i="2"/>
  <c r="G710" i="2"/>
  <c r="H709" i="2"/>
  <c r="G709" i="2"/>
  <c r="H708" i="2"/>
  <c r="G708" i="2"/>
  <c r="H707" i="2"/>
  <c r="G707" i="2"/>
  <c r="H706" i="2"/>
  <c r="G706" i="2"/>
  <c r="H703" i="2"/>
  <c r="G703" i="2"/>
  <c r="H702" i="2"/>
  <c r="G702" i="2"/>
  <c r="H701" i="2"/>
  <c r="G701" i="2"/>
  <c r="H700" i="2"/>
  <c r="G700" i="2"/>
  <c r="H699" i="2"/>
  <c r="G699" i="2"/>
  <c r="H698" i="2"/>
  <c r="G698" i="2"/>
  <c r="H697" i="2"/>
  <c r="G697" i="2"/>
  <c r="H696" i="2"/>
  <c r="G696" i="2"/>
  <c r="H695" i="2"/>
  <c r="G695" i="2"/>
  <c r="H694" i="2"/>
  <c r="G694" i="2"/>
  <c r="H693" i="2"/>
  <c r="G693" i="2"/>
  <c r="H692" i="2"/>
  <c r="G692" i="2"/>
  <c r="H691" i="2"/>
  <c r="G691" i="2"/>
  <c r="H690" i="2"/>
  <c r="G690" i="2"/>
  <c r="H689" i="2"/>
  <c r="G689" i="2"/>
  <c r="H688" i="2"/>
  <c r="G688" i="2"/>
  <c r="H687" i="2"/>
  <c r="G687" i="2"/>
  <c r="H686" i="2"/>
  <c r="G686" i="2"/>
  <c r="H685" i="2"/>
  <c r="G685" i="2"/>
  <c r="H684" i="2"/>
  <c r="G684" i="2"/>
  <c r="H683" i="2"/>
  <c r="G683" i="2"/>
  <c r="H678" i="2"/>
  <c r="G678" i="2"/>
  <c r="H677" i="2"/>
  <c r="G677" i="2"/>
  <c r="H676" i="2"/>
  <c r="G676" i="2"/>
  <c r="H675" i="2"/>
  <c r="G675" i="2"/>
  <c r="H674" i="2"/>
  <c r="G674" i="2"/>
  <c r="H673" i="2"/>
  <c r="G673" i="2"/>
  <c r="H672" i="2"/>
  <c r="G672" i="2"/>
  <c r="H670" i="2"/>
  <c r="G670" i="2"/>
  <c r="H669" i="2"/>
  <c r="G669" i="2"/>
  <c r="H668" i="2"/>
  <c r="G668" i="2"/>
  <c r="H667" i="2"/>
  <c r="G667" i="2"/>
  <c r="H666" i="2"/>
  <c r="G666" i="2"/>
  <c r="H665" i="2"/>
  <c r="G665" i="2"/>
  <c r="H664" i="2"/>
  <c r="G664" i="2"/>
  <c r="H662" i="2"/>
  <c r="G662" i="2"/>
  <c r="H661" i="2"/>
  <c r="G661" i="2"/>
  <c r="H660" i="2"/>
  <c r="G660" i="2"/>
  <c r="H659" i="2"/>
  <c r="G659" i="2"/>
  <c r="H658" i="2"/>
  <c r="G658" i="2"/>
  <c r="H657" i="2"/>
  <c r="G657" i="2"/>
  <c r="H656" i="2"/>
  <c r="G656" i="2"/>
  <c r="H654" i="2"/>
  <c r="G654" i="2"/>
  <c r="H653" i="2"/>
  <c r="G653" i="2"/>
  <c r="H652" i="2"/>
  <c r="G652" i="2"/>
  <c r="H651" i="2"/>
  <c r="G651" i="2"/>
  <c r="H650" i="2"/>
  <c r="G650" i="2"/>
  <c r="H649" i="2"/>
  <c r="G649" i="2"/>
  <c r="H648" i="2"/>
  <c r="G648" i="2"/>
  <c r="H646" i="2"/>
  <c r="G646" i="2"/>
  <c r="H645" i="2"/>
  <c r="G645" i="2"/>
  <c r="H644" i="2"/>
  <c r="G644" i="2"/>
  <c r="H643" i="2"/>
  <c r="G643" i="2"/>
  <c r="H642" i="2"/>
  <c r="G642" i="2"/>
  <c r="H641" i="2"/>
  <c r="G641" i="2"/>
  <c r="H640" i="2"/>
  <c r="G640" i="2"/>
  <c r="H638" i="2"/>
  <c r="G638" i="2"/>
  <c r="H637" i="2"/>
  <c r="G637" i="2"/>
  <c r="H636" i="2"/>
  <c r="G636" i="2"/>
  <c r="H635" i="2"/>
  <c r="G635" i="2"/>
  <c r="H634" i="2"/>
  <c r="G634" i="2"/>
  <c r="H633" i="2"/>
  <c r="G633" i="2"/>
  <c r="H632" i="2"/>
  <c r="G632" i="2"/>
  <c r="H630" i="2"/>
  <c r="G630" i="2"/>
  <c r="H629" i="2"/>
  <c r="G629" i="2"/>
  <c r="H628" i="2"/>
  <c r="G628" i="2"/>
  <c r="H627" i="2"/>
  <c r="G627" i="2"/>
  <c r="H626" i="2"/>
  <c r="G626" i="2"/>
  <c r="H625" i="2"/>
  <c r="G625" i="2"/>
  <c r="H624" i="2"/>
  <c r="G624" i="2"/>
  <c r="H622" i="2"/>
  <c r="G622" i="2"/>
  <c r="H621" i="2"/>
  <c r="G621" i="2"/>
  <c r="H620" i="2"/>
  <c r="G620" i="2"/>
  <c r="H619" i="2"/>
  <c r="G619" i="2"/>
  <c r="H618" i="2"/>
  <c r="G618" i="2"/>
  <c r="H617" i="2"/>
  <c r="G617" i="2"/>
  <c r="H616" i="2"/>
  <c r="G616" i="2"/>
  <c r="H614" i="2"/>
  <c r="G614" i="2"/>
  <c r="H613" i="2"/>
  <c r="G613" i="2"/>
  <c r="H612" i="2"/>
  <c r="G612" i="2"/>
  <c r="H611" i="2"/>
  <c r="G611" i="2"/>
  <c r="H610" i="2"/>
  <c r="G610" i="2"/>
  <c r="H609" i="2"/>
  <c r="G609" i="2"/>
  <c r="H608" i="2"/>
  <c r="G608" i="2"/>
  <c r="H606" i="2"/>
  <c r="G606" i="2"/>
  <c r="H605" i="2"/>
  <c r="G605" i="2"/>
  <c r="H604" i="2"/>
  <c r="G604" i="2"/>
  <c r="H603" i="2"/>
  <c r="G603" i="2"/>
  <c r="H602" i="2"/>
  <c r="G602" i="2"/>
  <c r="H601" i="2"/>
  <c r="G601" i="2"/>
  <c r="H600" i="2"/>
  <c r="G600" i="2"/>
  <c r="H598" i="2"/>
  <c r="G598" i="2"/>
  <c r="H597" i="2"/>
  <c r="G597" i="2"/>
  <c r="H596" i="2"/>
  <c r="G596" i="2"/>
  <c r="H595" i="2"/>
  <c r="G595" i="2"/>
  <c r="H594" i="2"/>
  <c r="G594" i="2"/>
  <c r="H593" i="2"/>
  <c r="G593" i="2"/>
  <c r="H592" i="2"/>
  <c r="G592" i="2"/>
  <c r="H590" i="2"/>
  <c r="G590" i="2"/>
  <c r="H589" i="2"/>
  <c r="G589" i="2"/>
  <c r="H588" i="2"/>
  <c r="G588" i="2"/>
  <c r="H587" i="2"/>
  <c r="G587" i="2"/>
  <c r="H586" i="2"/>
  <c r="G586" i="2"/>
  <c r="H585" i="2"/>
  <c r="G585" i="2"/>
  <c r="H584" i="2"/>
  <c r="G584" i="2"/>
  <c r="G582" i="2"/>
  <c r="G581" i="2"/>
  <c r="H580" i="2"/>
  <c r="G580" i="2"/>
  <c r="H579" i="2"/>
  <c r="G579" i="2"/>
  <c r="H577" i="2"/>
  <c r="G577" i="2"/>
  <c r="H576" i="2"/>
  <c r="G576" i="2"/>
  <c r="H575" i="2"/>
  <c r="G575" i="2"/>
  <c r="H574" i="2"/>
  <c r="G574" i="2"/>
  <c r="H572" i="2"/>
  <c r="G572" i="2"/>
  <c r="H571" i="2"/>
  <c r="G571" i="2"/>
  <c r="H570" i="2"/>
  <c r="G570" i="2"/>
  <c r="H569" i="2"/>
  <c r="G569" i="2"/>
  <c r="H568" i="2"/>
  <c r="G568" i="2"/>
  <c r="H567" i="2"/>
  <c r="G567" i="2"/>
  <c r="H566" i="2"/>
  <c r="G566" i="2"/>
  <c r="H565" i="2"/>
  <c r="G565" i="2"/>
  <c r="H564" i="2"/>
  <c r="G564" i="2"/>
  <c r="H563" i="2"/>
  <c r="G563" i="2"/>
  <c r="H562" i="2"/>
  <c r="G562" i="2"/>
  <c r="H561" i="2"/>
  <c r="G561" i="2"/>
  <c r="H560" i="2"/>
  <c r="G560" i="2"/>
  <c r="H559" i="2"/>
  <c r="G559" i="2"/>
  <c r="H558" i="2"/>
  <c r="G558" i="2"/>
  <c r="H557" i="2"/>
  <c r="G557" i="2"/>
  <c r="H555" i="2"/>
  <c r="G555" i="2"/>
  <c r="H554" i="2"/>
  <c r="G554" i="2"/>
  <c r="H553" i="2"/>
  <c r="G553" i="2"/>
  <c r="H552" i="2"/>
  <c r="G552" i="2"/>
  <c r="H551" i="2"/>
  <c r="G551" i="2"/>
  <c r="H550" i="2"/>
  <c r="G550" i="2"/>
  <c r="H549" i="2"/>
  <c r="G549" i="2"/>
  <c r="H548" i="2"/>
  <c r="G548" i="2"/>
  <c r="H547" i="2"/>
  <c r="G547" i="2"/>
  <c r="H546" i="2"/>
  <c r="G546" i="2"/>
  <c r="H545" i="2"/>
  <c r="G545" i="2"/>
  <c r="H544" i="2"/>
  <c r="G544" i="2"/>
  <c r="H543" i="2"/>
  <c r="G543" i="2"/>
  <c r="H542" i="2"/>
  <c r="G542" i="2"/>
  <c r="H541" i="2"/>
  <c r="G541" i="2"/>
  <c r="H540" i="2"/>
  <c r="G540" i="2"/>
  <c r="H538" i="2"/>
  <c r="G538" i="2"/>
  <c r="H537" i="2"/>
  <c r="G537" i="2"/>
  <c r="H536" i="2"/>
  <c r="G536" i="2"/>
  <c r="H535" i="2"/>
  <c r="G535" i="2"/>
  <c r="H534" i="2"/>
  <c r="G534" i="2"/>
  <c r="H533" i="2"/>
  <c r="G533" i="2"/>
  <c r="H532" i="2"/>
  <c r="G532" i="2"/>
  <c r="H531" i="2"/>
  <c r="G531" i="2"/>
  <c r="H530" i="2"/>
  <c r="G530" i="2"/>
  <c r="H529" i="2"/>
  <c r="G529" i="2"/>
  <c r="H528" i="2"/>
  <c r="G528" i="2"/>
  <c r="H527" i="2"/>
  <c r="G527" i="2"/>
  <c r="H526" i="2"/>
  <c r="G526" i="2"/>
  <c r="H525" i="2"/>
  <c r="G525" i="2"/>
  <c r="H524" i="2"/>
  <c r="G524" i="2"/>
  <c r="H523" i="2"/>
  <c r="G523" i="2"/>
  <c r="H521" i="2"/>
  <c r="G521" i="2"/>
  <c r="H520" i="2"/>
  <c r="G520" i="2"/>
  <c r="H519" i="2"/>
  <c r="G519" i="2"/>
  <c r="H518" i="2"/>
  <c r="G518" i="2"/>
  <c r="H516" i="2"/>
  <c r="G516" i="2"/>
  <c r="H515" i="2"/>
  <c r="G515" i="2"/>
  <c r="H514" i="2"/>
  <c r="G514" i="2"/>
  <c r="H513" i="2"/>
  <c r="G513" i="2"/>
  <c r="H511" i="2"/>
  <c r="G511" i="2"/>
  <c r="H510" i="2"/>
  <c r="G510" i="2"/>
  <c r="H509" i="2"/>
  <c r="G509" i="2"/>
  <c r="H508" i="2"/>
  <c r="G508" i="2"/>
  <c r="H506" i="2"/>
  <c r="G506" i="2"/>
  <c r="H505" i="2"/>
  <c r="G505" i="2"/>
  <c r="H504" i="2"/>
  <c r="G504" i="2"/>
  <c r="H503" i="2"/>
  <c r="G503" i="2"/>
  <c r="H501" i="2"/>
  <c r="G501" i="2"/>
  <c r="H500" i="2"/>
  <c r="G500" i="2"/>
  <c r="H499" i="2"/>
  <c r="G499" i="2"/>
  <c r="H498" i="2"/>
  <c r="G498" i="2"/>
  <c r="H497" i="2"/>
  <c r="G497" i="2"/>
  <c r="H496" i="2"/>
  <c r="G496" i="2"/>
  <c r="H495" i="2"/>
  <c r="G495" i="2"/>
  <c r="H494" i="2"/>
  <c r="G494" i="2"/>
  <c r="H493" i="2"/>
  <c r="G493" i="2"/>
  <c r="H491" i="2"/>
  <c r="G491" i="2"/>
  <c r="H490" i="2"/>
  <c r="G490" i="2"/>
  <c r="H489" i="2"/>
  <c r="G489" i="2"/>
  <c r="H488" i="2"/>
  <c r="G488" i="2"/>
  <c r="H467" i="2"/>
  <c r="G467" i="2"/>
  <c r="H466" i="2"/>
  <c r="G466" i="2"/>
  <c r="H465" i="2"/>
  <c r="G465" i="2"/>
  <c r="H464" i="2"/>
  <c r="G464" i="2"/>
  <c r="H463" i="2"/>
  <c r="G463" i="2"/>
  <c r="H462" i="2"/>
  <c r="G462" i="2"/>
  <c r="H461" i="2"/>
  <c r="G461" i="2"/>
  <c r="H460" i="2"/>
  <c r="G460" i="2"/>
  <c r="H459" i="2"/>
  <c r="G459" i="2"/>
  <c r="H458" i="2"/>
  <c r="G458" i="2"/>
  <c r="H457" i="2"/>
  <c r="G457" i="2"/>
  <c r="H456" i="2"/>
  <c r="G456" i="2"/>
  <c r="H455" i="2"/>
  <c r="G455" i="2"/>
  <c r="H454" i="2"/>
  <c r="G454" i="2"/>
  <c r="H453" i="2"/>
  <c r="G453" i="2"/>
  <c r="H452" i="2"/>
  <c r="G452" i="2"/>
  <c r="H451" i="2"/>
  <c r="G451" i="2"/>
  <c r="H450" i="2"/>
  <c r="G450" i="2"/>
  <c r="H449" i="2"/>
  <c r="G449" i="2"/>
  <c r="H448" i="2"/>
  <c r="G448" i="2"/>
  <c r="H447" i="2"/>
  <c r="G447" i="2"/>
  <c r="H445" i="2"/>
  <c r="G445" i="2"/>
  <c r="H444" i="2"/>
  <c r="G444" i="2"/>
  <c r="H443" i="2"/>
  <c r="G443" i="2"/>
  <c r="H442" i="2"/>
  <c r="G442" i="2"/>
  <c r="H441" i="2"/>
  <c r="G441" i="2"/>
  <c r="H440" i="2"/>
  <c r="G440" i="2"/>
  <c r="H439" i="2"/>
  <c r="G439" i="2"/>
  <c r="H438" i="2"/>
  <c r="G438" i="2"/>
  <c r="H437" i="2"/>
  <c r="G437" i="2"/>
  <c r="H436" i="2"/>
  <c r="G436" i="2"/>
  <c r="H435" i="2"/>
  <c r="G435" i="2"/>
  <c r="H434" i="2"/>
  <c r="G434" i="2"/>
  <c r="H433" i="2"/>
  <c r="G433" i="2"/>
  <c r="H432" i="2"/>
  <c r="G432" i="2"/>
  <c r="H431" i="2"/>
  <c r="G431" i="2"/>
  <c r="H430" i="2"/>
  <c r="G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10" i="2"/>
  <c r="G410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99" i="2"/>
  <c r="G399" i="2"/>
  <c r="H398" i="2"/>
  <c r="G398" i="2"/>
  <c r="H397" i="2"/>
  <c r="G397" i="2"/>
  <c r="H396" i="2"/>
  <c r="G396" i="2"/>
  <c r="H395" i="2"/>
  <c r="G395" i="2"/>
  <c r="H394" i="2"/>
  <c r="G394" i="2"/>
  <c r="H393" i="2"/>
  <c r="G393" i="2"/>
  <c r="H392" i="2"/>
  <c r="G392" i="2"/>
  <c r="H391" i="2"/>
  <c r="G391" i="2"/>
  <c r="H390" i="2"/>
  <c r="G39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64" i="2"/>
  <c r="G364" i="2"/>
  <c r="H363" i="2"/>
  <c r="G363" i="2"/>
  <c r="H362" i="2"/>
  <c r="G362" i="2"/>
  <c r="H361" i="2"/>
  <c r="G361" i="2"/>
  <c r="H360" i="2"/>
  <c r="G360" i="2"/>
  <c r="H359" i="2"/>
  <c r="G359" i="2"/>
  <c r="H358" i="2"/>
  <c r="G358" i="2"/>
  <c r="H356" i="2"/>
  <c r="G356" i="2"/>
  <c r="H355" i="2"/>
  <c r="G355" i="2"/>
  <c r="H354" i="2"/>
  <c r="G354" i="2"/>
  <c r="H353" i="2"/>
  <c r="G353" i="2"/>
  <c r="H352" i="2"/>
  <c r="G352" i="2"/>
  <c r="H351" i="2"/>
  <c r="G351" i="2"/>
  <c r="H350" i="2"/>
  <c r="G350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G306" i="2"/>
  <c r="G305" i="2"/>
  <c r="G304" i="2"/>
  <c r="G303" i="2"/>
  <c r="H302" i="2"/>
  <c r="G302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87" i="2"/>
  <c r="G287" i="2"/>
  <c r="H286" i="2"/>
  <c r="G286" i="2"/>
  <c r="H285" i="2"/>
  <c r="G285" i="2"/>
  <c r="H284" i="2"/>
  <c r="G284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8" i="2"/>
  <c r="G268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9" authorId="0" shapeId="0" xr:uid="{00000000-0006-0000-0100-000003000000}">
      <text>
        <r>
          <rPr>
            <sz val="11"/>
            <color rgb="FF000000"/>
            <rFont val="Calibri"/>
            <scheme val="minor"/>
          </rPr>
          <t>======
ID#AAAADLQ8RjY
Jairo    (2019-06-20 21:43:20)
1. Alfanumerico
2. Numerico</t>
        </r>
      </text>
    </comment>
    <comment ref="B57" authorId="0" shapeId="0" xr:uid="{00000000-0006-0000-0100-000002000000}">
      <text>
        <r>
          <rPr>
            <sz val="11"/>
            <color rgb="FF000000"/>
            <rFont val="Calibri"/>
            <scheme val="minor"/>
          </rPr>
          <t>======
ID#AAAADLQ8Rjc
Juan Carlos Mendoza    (2019-06-20 21:43:20)
JCM en YTP</t>
        </r>
      </text>
    </comment>
    <comment ref="B713" authorId="0" shapeId="0" xr:uid="{00000000-0006-0000-0100-000004000000}">
      <text>
        <r>
          <rPr>
            <sz val="11"/>
            <color rgb="FF000000"/>
            <rFont val="Calibri"/>
            <scheme val="minor"/>
          </rPr>
          <t>======
ID#AAAADLQ8Rjg
Juan Carlos Mendoza    (2019-06-20 21:43:20)
JCM en YTP</t>
        </r>
      </text>
    </comment>
    <comment ref="B714" authorId="0" shapeId="0" xr:uid="{00000000-0006-0000-0100-000005000000}">
      <text>
        <r>
          <rPr>
            <sz val="11"/>
            <color rgb="FF000000"/>
            <rFont val="Calibri"/>
            <scheme val="minor"/>
          </rPr>
          <t>======
ID#AAAADLQ8Rjk
Juan Carlos Mendoza    (2019-06-20 21:43:20)
JCM en YTP</t>
        </r>
      </text>
    </comment>
    <comment ref="B756" authorId="0" shapeId="0" xr:uid="{00000000-0006-0000-0100-000006000000}">
      <text>
        <r>
          <rPr>
            <sz val="11"/>
            <color rgb="FF000000"/>
            <rFont val="Calibri"/>
            <scheme val="minor"/>
          </rPr>
          <t>======
ID#AAAADLQ8RjQ
Juan Carlos Mendoza    (2019-06-20 21:43:20)
JCM en YTP</t>
        </r>
      </text>
    </comment>
    <comment ref="B757" authorId="0" shapeId="0" xr:uid="{00000000-0006-0000-0100-000007000000}">
      <text>
        <r>
          <rPr>
            <sz val="11"/>
            <color rgb="FF000000"/>
            <rFont val="Calibri"/>
            <scheme val="minor"/>
          </rPr>
          <t>======
ID#AAAADLQ8RjU
Juan Carlos Mendoza    (2019-06-20 21:43:20)
JCM en YTP</t>
        </r>
      </text>
    </comment>
    <comment ref="B758" authorId="0" shapeId="0" xr:uid="{00000000-0006-0000-0100-000001000000}">
      <text>
        <r>
          <rPr>
            <sz val="11"/>
            <color rgb="FF000000"/>
            <rFont val="Calibri"/>
            <scheme val="minor"/>
          </rPr>
          <t>======
ID#AAAADLQ8Rjo
Juan Carlos Mendoza    (2019-06-20 21:43:20)
JCM en YTP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a5v18IlhUf6AOVsRXhNCJf+DCg=="/>
    </ext>
  </extLst>
</comments>
</file>

<file path=xl/sharedStrings.xml><?xml version="1.0" encoding="utf-8"?>
<sst xmlns="http://schemas.openxmlformats.org/spreadsheetml/2006/main" count="3599" uniqueCount="3492">
  <si>
    <t>Numero</t>
  </si>
  <si>
    <t>Etiqueta</t>
  </si>
  <si>
    <t>Descripcion</t>
  </si>
  <si>
    <t>Desc Tabla</t>
  </si>
  <si>
    <t>Numero de Persona Asignado por el sistema</t>
  </si>
  <si>
    <t>Person ID</t>
  </si>
  <si>
    <t>Nombre del Acreditado</t>
  </si>
  <si>
    <t>Person Full Name (Bussiness Name)</t>
  </si>
  <si>
    <t>Tipo de Persona (1. Individual, 2. Empresa)</t>
  </si>
  <si>
    <t>Person Type</t>
  </si>
  <si>
    <t>Tipo de Persona (Individual, Empresa)</t>
  </si>
  <si>
    <t>Person Type Label</t>
  </si>
  <si>
    <t>Primer Nombre de la persona</t>
  </si>
  <si>
    <t>Person First Name</t>
  </si>
  <si>
    <t>Segundo Nombre de la persona</t>
  </si>
  <si>
    <t>Person Second Name</t>
  </si>
  <si>
    <t>Primer Apellido de la persona</t>
  </si>
  <si>
    <t>Person Last Name</t>
  </si>
  <si>
    <t>Segundo Apellido de la persona</t>
  </si>
  <si>
    <t>Person Second Last Name</t>
  </si>
  <si>
    <t>Clave del Tipo de Identificacion de la persona</t>
  </si>
  <si>
    <t>Person Id Type</t>
  </si>
  <si>
    <t>Tipo de Identificacion de la persona</t>
  </si>
  <si>
    <t>Person Id Type Label</t>
  </si>
  <si>
    <t>Numero de Identificacion</t>
  </si>
  <si>
    <t>Person Id Number</t>
  </si>
  <si>
    <t>Person Tax Id</t>
  </si>
  <si>
    <t>Person Gender</t>
  </si>
  <si>
    <t>Genero de la persona (Masculino, Femenino)</t>
  </si>
  <si>
    <t>Person Gender Label</t>
  </si>
  <si>
    <t>Clave de Estado Civil de la persona</t>
  </si>
  <si>
    <t>Person Marital Status</t>
  </si>
  <si>
    <t>Estado Civil de la persona</t>
  </si>
  <si>
    <t>Person Marital Status Label</t>
  </si>
  <si>
    <t>Fecha de Nacimiento de la Persona</t>
  </si>
  <si>
    <t>Person Birth Date</t>
  </si>
  <si>
    <t>Correo Electronico de la persona</t>
  </si>
  <si>
    <t>Person EMail</t>
  </si>
  <si>
    <t>Bandera de verificacion de la persona</t>
  </si>
  <si>
    <t>Person Verified</t>
  </si>
  <si>
    <t>Etiqueta Bandera de verificacion de la persona</t>
  </si>
  <si>
    <t>Person Verified Label</t>
  </si>
  <si>
    <t>Numero de Persona asignado por un sistema externo</t>
  </si>
  <si>
    <t>Person ClientId</t>
  </si>
  <si>
    <t>Numero de Dependientes economicos</t>
  </si>
  <si>
    <t>Person Dependents</t>
  </si>
  <si>
    <t>Clave de Nivel de Estudios de la persona</t>
  </si>
  <si>
    <t>Person Education</t>
  </si>
  <si>
    <t>Nivel de Estudios de la persona</t>
  </si>
  <si>
    <t>Person Education Label</t>
  </si>
  <si>
    <t>Primer Nombre del conyuge</t>
  </si>
  <si>
    <t>Spouse First Name</t>
  </si>
  <si>
    <t>Segundo Nombre del conyuge</t>
  </si>
  <si>
    <t>Spouse Second Name</t>
  </si>
  <si>
    <t>Primer Apellido del conyuge</t>
  </si>
  <si>
    <t>Spouse Last Name</t>
  </si>
  <si>
    <t>Segundo Apellido del conyuge</t>
  </si>
  <si>
    <t>Spouse Second Last Name</t>
  </si>
  <si>
    <t>Person Mobile</t>
  </si>
  <si>
    <t>Person Full Name (Last Name First)</t>
  </si>
  <si>
    <t>Person Full Name (First Name First)</t>
  </si>
  <si>
    <t>Spouse Name (Last Name First)</t>
  </si>
  <si>
    <t>Spouse Name (First Name First)</t>
  </si>
  <si>
    <t>Clave del usuario que genera la informacion</t>
  </si>
  <si>
    <t>User Id</t>
  </si>
  <si>
    <t>Nombre de la persona con limite de 20 caracteres</t>
  </si>
  <si>
    <t>Person Name (20 characters)</t>
  </si>
  <si>
    <t>Nacionalidad del acreditado</t>
  </si>
  <si>
    <t>Person Nationality</t>
  </si>
  <si>
    <t>Edad del acreditado</t>
  </si>
  <si>
    <t>Person age</t>
  </si>
  <si>
    <t>Tipo de Actividad</t>
  </si>
  <si>
    <t>Person Job SectorActivity</t>
  </si>
  <si>
    <t>Person Job Short Address (street, num ext, num int)</t>
  </si>
  <si>
    <t>Colonia del Negocio</t>
  </si>
  <si>
    <t>Person Job Neighborhood</t>
  </si>
  <si>
    <t>Localidad del Negocio</t>
  </si>
  <si>
    <t>Person Job Township</t>
  </si>
  <si>
    <t>Municipio del Negocio</t>
  </si>
  <si>
    <t>Person Job City</t>
  </si>
  <si>
    <t>Codigo Postal del Negocio o Empleo</t>
  </si>
  <si>
    <t>Person Job ZC</t>
  </si>
  <si>
    <t>Anos de antiguedad en el empleo o Negocio</t>
  </si>
  <si>
    <t>Person Job Years</t>
  </si>
  <si>
    <t>Person Job Months</t>
  </si>
  <si>
    <t>Address Type</t>
  </si>
  <si>
    <t xml:space="preserve">Tipo de Domicilio </t>
  </si>
  <si>
    <t>Address Type Label</t>
  </si>
  <si>
    <t>Clave de Tipo de Propiedad</t>
  </si>
  <si>
    <t>Address Property</t>
  </si>
  <si>
    <t>Tipo de Propiedad</t>
  </si>
  <si>
    <t>Address Property Label</t>
  </si>
  <si>
    <t>Calle del Acreditado</t>
  </si>
  <si>
    <t>Address Street</t>
  </si>
  <si>
    <t>Address Exterior</t>
  </si>
  <si>
    <t>Numero Interior del Acreditado</t>
  </si>
  <si>
    <t>Address Interior</t>
  </si>
  <si>
    <t>Cruzamiento del domicilio</t>
  </si>
  <si>
    <t>Address Corner</t>
  </si>
  <si>
    <t>Colonia del Acreditado</t>
  </si>
  <si>
    <t>Address Neighborhood</t>
  </si>
  <si>
    <t>Address Township</t>
  </si>
  <si>
    <t>Address City</t>
  </si>
  <si>
    <t>Clave del estado de la republica</t>
  </si>
  <si>
    <t>Address State Id</t>
  </si>
  <si>
    <t>Clave de pais</t>
  </si>
  <si>
    <t>Address Country Id</t>
  </si>
  <si>
    <t>Codigo Postal</t>
  </si>
  <si>
    <t>Address Zip Code</t>
  </si>
  <si>
    <t>Address Phone Number</t>
  </si>
  <si>
    <t>Comentarios del domicilio</t>
  </si>
  <si>
    <t>Address Coments</t>
  </si>
  <si>
    <t>Tiempo de residencia (Anos)</t>
  </si>
  <si>
    <t>Address Year(s)</t>
  </si>
  <si>
    <t>Tiempo de residencia (Meses)</t>
  </si>
  <si>
    <t>Address Month(s)</t>
  </si>
  <si>
    <t>Bandera de verificacion del domicilio</t>
  </si>
  <si>
    <t>Address Verified</t>
  </si>
  <si>
    <t>Etiqueta Bandera de verificacion del domicilio</t>
  </si>
  <si>
    <t>Address Verified Label</t>
  </si>
  <si>
    <t>Direccion completa del domicilio</t>
  </si>
  <si>
    <t>Address Full</t>
  </si>
  <si>
    <t>Descripcion del estado del domicilio</t>
  </si>
  <si>
    <t>Address State Description</t>
  </si>
  <si>
    <t>Descripcion del pais del domicilio</t>
  </si>
  <si>
    <t>Address Country Description</t>
  </si>
  <si>
    <t>Address Short</t>
  </si>
  <si>
    <t>ID de la solicitud</t>
  </si>
  <si>
    <t>App iAppId</t>
  </si>
  <si>
    <t>Clave del Estatus actual de la solicitud</t>
  </si>
  <si>
    <t>App iOpStatus</t>
  </si>
  <si>
    <t>Descripcion del Estatus actual de la solicitud</t>
  </si>
  <si>
    <t>App vStatus</t>
  </si>
  <si>
    <t>App vReference</t>
  </si>
  <si>
    <t>Clave del Motivo o subestatus de la solicitud</t>
  </si>
  <si>
    <t>App MotiveId</t>
  </si>
  <si>
    <t>App Motive Description</t>
  </si>
  <si>
    <t>Ultimo comentario de la solicitud</t>
  </si>
  <si>
    <t>App Last Comment</t>
  </si>
  <si>
    <t>Monto Solicitado</t>
  </si>
  <si>
    <t>App Amount Solicited</t>
  </si>
  <si>
    <t>Indentificador externo de la solicitud</t>
  </si>
  <si>
    <t>App ExternalId</t>
  </si>
  <si>
    <t>Referencia del contrato sin guiones</t>
  </si>
  <si>
    <t>App vReference numbers only</t>
  </si>
  <si>
    <t>App Payments</t>
  </si>
  <si>
    <t>Numero de pagos en letras</t>
  </si>
  <si>
    <t>App Payments Text</t>
  </si>
  <si>
    <t>Gerente de la sucursal</t>
  </si>
  <si>
    <t>App Branch Manager</t>
  </si>
  <si>
    <t>Nombre del coacredidato</t>
  </si>
  <si>
    <t>App Relation Name (Coacredited)</t>
  </si>
  <si>
    <t>App Relation Name (Collateral)</t>
  </si>
  <si>
    <t>Porcentaje del CAT Numero</t>
  </si>
  <si>
    <t>App CAT (Annual Total Cost)</t>
  </si>
  <si>
    <t>Monto Autorizado</t>
  </si>
  <si>
    <t>App Authorized</t>
  </si>
  <si>
    <t>Tasa de Interes Ordinario Numero</t>
  </si>
  <si>
    <t>App Interest Rate</t>
  </si>
  <si>
    <t>Tasa para cargos de cobranza</t>
  </si>
  <si>
    <t>App Charge Rate</t>
  </si>
  <si>
    <t>Porcentaje de Comision Numero</t>
  </si>
  <si>
    <t>App Commission Rate</t>
  </si>
  <si>
    <t>App Payment Amount</t>
  </si>
  <si>
    <t>App Monthly Payments</t>
  </si>
  <si>
    <t>Frecuencia de Pago</t>
  </si>
  <si>
    <t>App Frequency</t>
  </si>
  <si>
    <t>Monto autorizado en letras</t>
  </si>
  <si>
    <t>App Authorized Text</t>
  </si>
  <si>
    <t>Fecha de Primer Pago</t>
  </si>
  <si>
    <t>App First Payment Date</t>
  </si>
  <si>
    <t>Monto del Credito Numero (Importe financiado)</t>
  </si>
  <si>
    <t>App Financed Amount</t>
  </si>
  <si>
    <t>Importe de intereses del credito IVA incluido</t>
  </si>
  <si>
    <t>App Interests (Interest + VAT)</t>
  </si>
  <si>
    <t>Importe de intereses del credito excluyendo su IVA</t>
  </si>
  <si>
    <t>App Interests without tax (VAT)</t>
  </si>
  <si>
    <t>App Total to Pay</t>
  </si>
  <si>
    <t>Fecha del Estatus de la solicitud</t>
  </si>
  <si>
    <t>App Status Date</t>
  </si>
  <si>
    <t>App Afiliation</t>
  </si>
  <si>
    <t>Id del afiliado</t>
  </si>
  <si>
    <t>App Id Afiliate</t>
  </si>
  <si>
    <t>Descripcion del afiliado</t>
  </si>
  <si>
    <t>App Afiliate Description</t>
  </si>
  <si>
    <t>Identificador del vendedor o asesor de negocios</t>
  </si>
  <si>
    <t>App Id Salesman</t>
  </si>
  <si>
    <t>Nombre del vendedor o Asesor de Negocios</t>
  </si>
  <si>
    <t>App Salesman Name</t>
  </si>
  <si>
    <t>App Id Supervisor</t>
  </si>
  <si>
    <t>Nombre del Coordinador del Asesor de Negocios</t>
  </si>
  <si>
    <t>App Supervisor Name</t>
  </si>
  <si>
    <t>App Frecuency Calendar</t>
  </si>
  <si>
    <t>Porcentaje de comision en letras</t>
  </si>
  <si>
    <t>App Commission Rate Text</t>
  </si>
  <si>
    <t>Importe neto de la comision (Sin IVA)</t>
  </si>
  <si>
    <t>App Commision amount</t>
  </si>
  <si>
    <t>Impuesto de la comision (Iva)</t>
  </si>
  <si>
    <t>App Commision Tax (VAT)</t>
  </si>
  <si>
    <t xml:space="preserve">Valor total de la comision incluyendo IVA </t>
  </si>
  <si>
    <t>App Commision Total (Commission + VAT)</t>
  </si>
  <si>
    <t>Importe del seguro</t>
  </si>
  <si>
    <t>App Insurance</t>
  </si>
  <si>
    <t>Impuesto (IVA) del seguro</t>
  </si>
  <si>
    <t>App Insurance Tax</t>
  </si>
  <si>
    <t>Valor Total del seguro incluyendo IVA</t>
  </si>
  <si>
    <t>App Insurance Total (Insurance + VAT)</t>
  </si>
  <si>
    <t>Factor de calculo del seguro</t>
  </si>
  <si>
    <t>App Insurance Factor</t>
  </si>
  <si>
    <t>Tasa de Interes Ordinario Letras</t>
  </si>
  <si>
    <t>App Interest Rate text</t>
  </si>
  <si>
    <t>Monto total del contrato o pagare</t>
  </si>
  <si>
    <t>App Contract Amount</t>
  </si>
  <si>
    <t>Monto total del contrato o pagare en letras</t>
  </si>
  <si>
    <t>App Contract Amount Text</t>
  </si>
  <si>
    <t>Destino del Credito</t>
  </si>
  <si>
    <t>App Main Destination</t>
  </si>
  <si>
    <t>Capacidad de pago Quincenal</t>
  </si>
  <si>
    <t>App Monthly2 Capacity</t>
  </si>
  <si>
    <t>Capacidad de pago Mensual</t>
  </si>
  <si>
    <t>App Monthly Capacity</t>
  </si>
  <si>
    <t>Proveedor de los servicios</t>
  </si>
  <si>
    <t>App Provider</t>
  </si>
  <si>
    <t>App Disc Interest Rate</t>
  </si>
  <si>
    <t>App Disc Interest Rate Text</t>
  </si>
  <si>
    <t>Valor de la cuota en letras</t>
  </si>
  <si>
    <t>App Payment Amount Text</t>
  </si>
  <si>
    <t>App Payment days (SEVEN, fourtheen, fiftheen, thirty…)</t>
  </si>
  <si>
    <t>Porcentaje del CAT Letra</t>
  </si>
  <si>
    <t>App CAT Text (Annual Total Cost)</t>
  </si>
  <si>
    <t>Nacionalidad del Aval</t>
  </si>
  <si>
    <t>App Collateral Nationality</t>
  </si>
  <si>
    <t>Tipo de Relacion del Aval</t>
  </si>
  <si>
    <t>App Collateral Type</t>
  </si>
  <si>
    <t>Colonia del Aval</t>
  </si>
  <si>
    <t>App Collateral Neighborhood</t>
  </si>
  <si>
    <t>App Collateral Township</t>
  </si>
  <si>
    <t>App Collateral City</t>
  </si>
  <si>
    <t>Modulo o Nivel de la solicitud</t>
  </si>
  <si>
    <t>App Module</t>
  </si>
  <si>
    <t>Importe del Primer Pago</t>
  </si>
  <si>
    <t>App First Payment Amount</t>
  </si>
  <si>
    <t>Tipo de solicitud Grupal o Individual</t>
  </si>
  <si>
    <t>App Type GI</t>
  </si>
  <si>
    <t>App Disposition</t>
  </si>
  <si>
    <t>Descripcion del Grupo (solo credito Grupal)</t>
  </si>
  <si>
    <t>App Group</t>
  </si>
  <si>
    <t>App Collateral Type and address</t>
  </si>
  <si>
    <t>App Asked witness 1</t>
  </si>
  <si>
    <t>App Asked witness 2</t>
  </si>
  <si>
    <t>Tambien conocido como - Solicitante</t>
  </si>
  <si>
    <t>App Known As</t>
  </si>
  <si>
    <t>Tambien conocido como - Aval</t>
  </si>
  <si>
    <t>App Collateral Known as</t>
  </si>
  <si>
    <t>App Relation Asked witness 1</t>
  </si>
  <si>
    <t>App Relation Asked witness 2</t>
  </si>
  <si>
    <t>Numero de Credito</t>
  </si>
  <si>
    <t>Credit Id</t>
  </si>
  <si>
    <t>Credit Reference</t>
  </si>
  <si>
    <t>Credit Reference (Numeric)</t>
  </si>
  <si>
    <t>Consecutivo de Tarjeta de credito</t>
  </si>
  <si>
    <t>Credit Card Consecutive</t>
  </si>
  <si>
    <t>Numero de tarjeta de credito (####-####-####-####)</t>
  </si>
  <si>
    <t>Credit Card Number (####-####-####-####)</t>
  </si>
  <si>
    <t>Fecha de Ultima Amortizacion/Pago</t>
  </si>
  <si>
    <t>Credit Last Payment Text</t>
  </si>
  <si>
    <t>Fecha de Apertura (inicio) del credito</t>
  </si>
  <si>
    <t>Credit Openned Text</t>
  </si>
  <si>
    <t>Monto del Credito Numero</t>
  </si>
  <si>
    <t>Credit Amount</t>
  </si>
  <si>
    <t>Monto de Comision Numero</t>
  </si>
  <si>
    <t>Credit Commsion Amount</t>
  </si>
  <si>
    <t>Monto del Credito Letras</t>
  </si>
  <si>
    <t>Credit Amount Letter</t>
  </si>
  <si>
    <t>Referencia de afiliacion para pago (PROSA)</t>
  </si>
  <si>
    <t>Credit Afiliation Ref</t>
  </si>
  <si>
    <t>Fecha de primer pago del credito</t>
  </si>
  <si>
    <t>Credit First Due Date</t>
  </si>
  <si>
    <t>Fecha de ultimo cambio de estatus de la solicitud</t>
  </si>
  <si>
    <t>App Last Status Date</t>
  </si>
  <si>
    <t>Saldo Inicial del credito</t>
  </si>
  <si>
    <t>Credit Initial Balance</t>
  </si>
  <si>
    <t>App Last Status User</t>
  </si>
  <si>
    <t>Folio de solicitud (PESO Fojal)</t>
  </si>
  <si>
    <t>App External Ref Number</t>
  </si>
  <si>
    <t>Fecha de vencimiento de la linea de credito</t>
  </si>
  <si>
    <t>Credit Line Expire</t>
  </si>
  <si>
    <t>Nombre / descripcion del financiamiento</t>
  </si>
  <si>
    <t>App Product Description</t>
  </si>
  <si>
    <t>Actividad (PESO Fojal)</t>
  </si>
  <si>
    <t>App Business Activity</t>
  </si>
  <si>
    <t>Numero de Linea de Credito del cliente</t>
  </si>
  <si>
    <t>Credit Line Number</t>
  </si>
  <si>
    <t>Numero de disposicion</t>
  </si>
  <si>
    <t>App Disposition Number</t>
  </si>
  <si>
    <t>App Account Number</t>
  </si>
  <si>
    <t>Numero de contrato de la Linea de Credito</t>
  </si>
  <si>
    <t>Credit Line reference Number</t>
  </si>
  <si>
    <t>Fecha de Inicio de la Linea de credito</t>
  </si>
  <si>
    <t>Credit Line Start Date</t>
  </si>
  <si>
    <t>Credit Restructure Discount (Number)</t>
  </si>
  <si>
    <t>Credit Restructure Discount (letters)</t>
  </si>
  <si>
    <t>Fecha actual del sistema</t>
  </si>
  <si>
    <t>System Date mm/dd/yyyy</t>
  </si>
  <si>
    <t>Hora del sistema HH:MM AM/PM</t>
  </si>
  <si>
    <t>System Time HH:MM AM/PM</t>
  </si>
  <si>
    <t xml:space="preserve">Dia del mes del sistema </t>
  </si>
  <si>
    <t>System Day</t>
  </si>
  <si>
    <t>Mes del sistema</t>
  </si>
  <si>
    <t>System Month Label</t>
  </si>
  <si>
    <t>Año del sistema</t>
  </si>
  <si>
    <t>System Year</t>
  </si>
  <si>
    <t>Fecha del sistema formato largo dd de mmm de yyyy</t>
  </si>
  <si>
    <t>System Date Text</t>
  </si>
  <si>
    <t xml:space="preserve">Nombre completo del usuario </t>
  </si>
  <si>
    <t>User Name</t>
  </si>
  <si>
    <t>Numero de Pagador</t>
  </si>
  <si>
    <t>Payer Number</t>
  </si>
  <si>
    <t>Clave de la Dependencia para cobro</t>
  </si>
  <si>
    <t>Dependecy code</t>
  </si>
  <si>
    <t>Numero de Expediente de Nomina</t>
  </si>
  <si>
    <t>Payroll file number</t>
  </si>
  <si>
    <t>Numero de Empleado</t>
  </si>
  <si>
    <t>Employee Number</t>
  </si>
  <si>
    <t>Nombre del Aval 01. Para creditos grupales</t>
  </si>
  <si>
    <t>App Relation Name (Collateral 01)</t>
  </si>
  <si>
    <t>Nombre del Aval 02. Para creditos grupales</t>
  </si>
  <si>
    <t>App Relation Name (Collateral 02)</t>
  </si>
  <si>
    <t>Nombre del Aval 03. Para creditos grupales</t>
  </si>
  <si>
    <t>App Relation Name (Collateral 03)</t>
  </si>
  <si>
    <t>Nombre del Aval 04. Para creditos grupales</t>
  </si>
  <si>
    <t>App Relation Name (Collateral 04)</t>
  </si>
  <si>
    <t>Nombre del Aval 05. Para creditos grupales</t>
  </si>
  <si>
    <t>App Relation Name (Collateral 05)</t>
  </si>
  <si>
    <t>Nombre del Aval 06. Para creditos grupales</t>
  </si>
  <si>
    <t>App Relation Name (Collateral 06)</t>
  </si>
  <si>
    <t>Nombre del Aval 07. Para creditos grupales</t>
  </si>
  <si>
    <t>App Relation Name (Collateral 07)</t>
  </si>
  <si>
    <t>Nombre del Aval 08. Para creditos grupales</t>
  </si>
  <si>
    <t>App Relation Name (Collateral 08)</t>
  </si>
  <si>
    <t>Nombre del Aval 09. Para creditos grupales</t>
  </si>
  <si>
    <t>App Relation Name (Collateral 09)</t>
  </si>
  <si>
    <t>Nombre del Aval 10. Para creditos grupales</t>
  </si>
  <si>
    <t>App Relation Name (Collateral 10)</t>
  </si>
  <si>
    <t>Nombre del Aval 11. Para creditos grupales</t>
  </si>
  <si>
    <t>App Relation Name (Collateral 11)</t>
  </si>
  <si>
    <t>Nombre del Aval 12. Para creditos grupales</t>
  </si>
  <si>
    <t>App Relation Name (Collateral 12)</t>
  </si>
  <si>
    <t>Nombre del Aval 13. Para creditos grupales</t>
  </si>
  <si>
    <t>App Relation Name (Collateral 13)</t>
  </si>
  <si>
    <t>Nombre del Aval 14. Para creditos grupales</t>
  </si>
  <si>
    <t>App Relation Name (Collateral 14)</t>
  </si>
  <si>
    <t>Nombre del Aval 15. Para creditos grupales</t>
  </si>
  <si>
    <t>App Relation Name (Collateral 15)</t>
  </si>
  <si>
    <t>Nombre del Aval 16. Para creditos grupales</t>
  </si>
  <si>
    <t>App Relation Name (Collateral 16)</t>
  </si>
  <si>
    <t>Nombre del Aval 17. Para creditos grupales</t>
  </si>
  <si>
    <t>App Relation Name (Collateral 17)</t>
  </si>
  <si>
    <t>Nombre del Aval 18. Para creditos grupales</t>
  </si>
  <si>
    <t>App Relation Name (Collateral 18)</t>
  </si>
  <si>
    <t>Nombre del Aval 19. Para creditos grupales</t>
  </si>
  <si>
    <t>App Relation Name (Collateral 19)</t>
  </si>
  <si>
    <t>Nombre del Aval 20. Para creditos grupales</t>
  </si>
  <si>
    <t>App Relation Name (Collateral 20)</t>
  </si>
  <si>
    <t>Nombre del Aval 21. Para creditos grupales</t>
  </si>
  <si>
    <t>App Relation Name (Collateral 21)</t>
  </si>
  <si>
    <t>Nombre del Aval 22. Para creditos grupales</t>
  </si>
  <si>
    <t>App Relation Name (Collateral 22)</t>
  </si>
  <si>
    <t>Nombre del Aval 23. Para creditos grupales</t>
  </si>
  <si>
    <t>App Relation Name (Collateral 23)</t>
  </si>
  <si>
    <t>Nombre del Aval 24. Para creditos grupales</t>
  </si>
  <si>
    <t>App Relation Name (Collateral 24)</t>
  </si>
  <si>
    <t>Nombre del Aval 25. Para creditos grupales</t>
  </si>
  <si>
    <t>App Relation Name (Collateral 25)</t>
  </si>
  <si>
    <t>Nombre del Aval 26. Para creditos grupales</t>
  </si>
  <si>
    <t>App Relation Name (Collateral 26)</t>
  </si>
  <si>
    <t>Nombre del Aval 27. Para creditos grupales</t>
  </si>
  <si>
    <t>App Relation Name (Collateral 27)</t>
  </si>
  <si>
    <t>Nombre del Aval 28. Para creditos grupales</t>
  </si>
  <si>
    <t>App Relation Name (Collateral 28)</t>
  </si>
  <si>
    <t>Nombre del Aval 29. Para creditos grupales</t>
  </si>
  <si>
    <t>App Relation Name (Collateral 29)</t>
  </si>
  <si>
    <t>Nombre del Aval 30. Para creditos grupales</t>
  </si>
  <si>
    <t>App Relation Name (Collateral 30)</t>
  </si>
  <si>
    <t>Nombre del Aval 31. Para creditos grupales</t>
  </si>
  <si>
    <t>App Relation Name (Collateral 31)</t>
  </si>
  <si>
    <t>Nombre del Aval 32. Para creditos grupales</t>
  </si>
  <si>
    <t>App Relation Name (Collateral 32)</t>
  </si>
  <si>
    <t>Nombre del Aval 33. Para creditos grupales</t>
  </si>
  <si>
    <t>App Relation Name (Collateral 33)</t>
  </si>
  <si>
    <t>Nombre del Aval 34. Para creditos grupales</t>
  </si>
  <si>
    <t>App Relation Name (Collateral 34)</t>
  </si>
  <si>
    <t>Nombre del Aval 35. Para creditos grupales</t>
  </si>
  <si>
    <t>App Relation Name (Collateral 35)</t>
  </si>
  <si>
    <t>Nombre del Aval 36. Para creditos grupales</t>
  </si>
  <si>
    <t>App Relation Name (Collateral 36)</t>
  </si>
  <si>
    <t>Nombre del Aval 37. Para creditos grupales</t>
  </si>
  <si>
    <t>App Relation Name (Collateral 37)</t>
  </si>
  <si>
    <t>Nombre del Aval 38. Para creditos grupales</t>
  </si>
  <si>
    <t>App Relation Name (Collateral 38)</t>
  </si>
  <si>
    <t>Nombre del Aval 39. Para creditos grupales</t>
  </si>
  <si>
    <t>App Relation Name (Collateral 39)</t>
  </si>
  <si>
    <t>Nombre del Aval 40. Para creditos grupales</t>
  </si>
  <si>
    <t>App Relation Name (Collateral 40)</t>
  </si>
  <si>
    <t>Domicilio del Aval 01. Para creditos grupales</t>
  </si>
  <si>
    <t>App Relation Address (Collateral 01)</t>
  </si>
  <si>
    <t>Domicilio del Aval 02. Para creditos grupales</t>
  </si>
  <si>
    <t>App Relation Address (Collateral 02)</t>
  </si>
  <si>
    <t>Domicilio del Aval 03. Para creditos grupales</t>
  </si>
  <si>
    <t>App Relation Address (Collateral 03)</t>
  </si>
  <si>
    <t>Domicilio del Aval 04. Para creditos grupales</t>
  </si>
  <si>
    <t>App Relation Address (Collateral 04)</t>
  </si>
  <si>
    <t>Domicilio del Aval 05. Para creditos grupales</t>
  </si>
  <si>
    <t>App Relation Address (Collateral 05)</t>
  </si>
  <si>
    <t>Domicilio del Aval 06. Para creditos grupales</t>
  </si>
  <si>
    <t>App Relation Address (Collateral 06)</t>
  </si>
  <si>
    <t>Domicilio del Aval 07. Para creditos grupales</t>
  </si>
  <si>
    <t>App Relation Address (Collateral 07)</t>
  </si>
  <si>
    <t>Domicilio del Aval 08. Para creditos grupales</t>
  </si>
  <si>
    <t>App Relation Address (Collateral 08)</t>
  </si>
  <si>
    <t>Domicilio del Aval 09. Para creditos grupales</t>
  </si>
  <si>
    <t>App Relation Address (Collateral 09)</t>
  </si>
  <si>
    <t>Domicilio del Aval 10. Para creditos grupales</t>
  </si>
  <si>
    <t>App Relation Address (Collateral 10)</t>
  </si>
  <si>
    <t>Domicilio del Aval 11. Para creditos grupales</t>
  </si>
  <si>
    <t>App Relation Address (Collateral 11)</t>
  </si>
  <si>
    <t>Domicilio del Aval 12. Para creditos grupales</t>
  </si>
  <si>
    <t>App Relation Address (Collateral 12)</t>
  </si>
  <si>
    <t>Domicilio del Aval 13. Para creditos grupales</t>
  </si>
  <si>
    <t>App Relation Address (Collateral 13)</t>
  </si>
  <si>
    <t>Domicilio del Aval 14. Para creditos grupales</t>
  </si>
  <si>
    <t>App Relation Address (Collateral 14)</t>
  </si>
  <si>
    <t>Domicilio del Aval 15. Para creditos grupales</t>
  </si>
  <si>
    <t>App Relation Address (Collateral 15)</t>
  </si>
  <si>
    <t>Domicilio del Aval 16. Para creditos grupales</t>
  </si>
  <si>
    <t>App Relation Address (Collateral 16)</t>
  </si>
  <si>
    <t>Domicilio del Aval 17. Para creditos grupales</t>
  </si>
  <si>
    <t>App Relation Address (Collateral 17)</t>
  </si>
  <si>
    <t>Domicilio del Aval 18. Para creditos grupales</t>
  </si>
  <si>
    <t>App Relation Address (Collateral 18)</t>
  </si>
  <si>
    <t>Domicilio del Aval 19. Para creditos grupales</t>
  </si>
  <si>
    <t>App Relation Address (Collateral 19)</t>
  </si>
  <si>
    <t>Domicilio del Aval 20. Para creditos grupales</t>
  </si>
  <si>
    <t>App Relation Address (Collateral 20)</t>
  </si>
  <si>
    <t>Domicilio del Aval 21. Para creditos grupales</t>
  </si>
  <si>
    <t>App Relation Address (Collateral 21)</t>
  </si>
  <si>
    <t>Domicilio del Aval 22. Para creditos grupales</t>
  </si>
  <si>
    <t>App Relation Address (Collateral 22)</t>
  </si>
  <si>
    <t>Domicilio del Aval 23. Para creditos grupales</t>
  </si>
  <si>
    <t>App Relation Address (Collateral 23)</t>
  </si>
  <si>
    <t>Domicilio del Aval 24. Para creditos grupales</t>
  </si>
  <si>
    <t>App Relation Address (Collateral 24)</t>
  </si>
  <si>
    <t>Domicilio del Aval 25. Para creditos grupales</t>
  </si>
  <si>
    <t>App Relation Address (Collateral 25)</t>
  </si>
  <si>
    <t>Domicilio del Aval 26. Para creditos grupales</t>
  </si>
  <si>
    <t>App Relation Address (Collateral 26)</t>
  </si>
  <si>
    <t>Domicilio del Aval 27. Para creditos grupales</t>
  </si>
  <si>
    <t>App Relation Address (Collateral 27)</t>
  </si>
  <si>
    <t>Domicilio del Aval 28. Para creditos grupales</t>
  </si>
  <si>
    <t>App Relation Address (Collateral 28)</t>
  </si>
  <si>
    <t>Domicilio del Aval 29. Para creditos grupales</t>
  </si>
  <si>
    <t>App Relation Address (Collateral 29)</t>
  </si>
  <si>
    <t>Domicilio del Aval 30. Para creditos grupales</t>
  </si>
  <si>
    <t>App Relation Address (Collateral 30)</t>
  </si>
  <si>
    <t>Domicilio del Aval 31. Para creditos grupales</t>
  </si>
  <si>
    <t>App Relation Address (Collateral 31)</t>
  </si>
  <si>
    <t>Domicilio del Aval 32. Para creditos grupales</t>
  </si>
  <si>
    <t>App Relation Address (Collateral 32)</t>
  </si>
  <si>
    <t>Domicilio del Aval 33. Para creditos grupales</t>
  </si>
  <si>
    <t>App Relation Address (Collateral 33)</t>
  </si>
  <si>
    <t>Domicilio del Aval 34. Para creditos grupales</t>
  </si>
  <si>
    <t>App Relation Address (Collateral 34)</t>
  </si>
  <si>
    <t>Domicilio del Aval 35. Para creditos grupales</t>
  </si>
  <si>
    <t>App Relation Address (Collateral 35)</t>
  </si>
  <si>
    <t>Domicilio del Aval 36. Para creditos grupales</t>
  </si>
  <si>
    <t>App Relation Address (Collateral 36)</t>
  </si>
  <si>
    <t>Domicilio del Aval 37. Para creditos grupales</t>
  </si>
  <si>
    <t>App Relation Address (Collateral 37)</t>
  </si>
  <si>
    <t>Domicilio del Aval 38. Para creditos grupales</t>
  </si>
  <si>
    <t>App Relation Address (Collateral 38)</t>
  </si>
  <si>
    <t>Domicilio del Aval 39. Para creditos grupales</t>
  </si>
  <si>
    <t>App Relation Address (Collateral 39)</t>
  </si>
  <si>
    <t>Domicilio del Aval 40. Para creditos grupales</t>
  </si>
  <si>
    <t>App Relation Address (Collateral 40)</t>
  </si>
  <si>
    <t>es</t>
  </si>
  <si>
    <t>CLIENTE QUE LA TIENE</t>
  </si>
  <si>
    <t>Tipo Dato</t>
  </si>
  <si>
    <t>Longitud</t>
  </si>
  <si>
    <t>Query</t>
  </si>
  <si>
    <t>[i101: PID]</t>
  </si>
  <si>
    <t>[i102: PFNBN]</t>
  </si>
  <si>
    <t>[i103: PT]</t>
  </si>
  <si>
    <t>[i104: PTL]</t>
  </si>
  <si>
    <t>[i105: PFN]</t>
  </si>
  <si>
    <t>[i106: PSN]</t>
  </si>
  <si>
    <t>[i107: PLN]</t>
  </si>
  <si>
    <t>[i108: PSLN]</t>
  </si>
  <si>
    <t>[i109: PIDT]</t>
  </si>
  <si>
    <t>[i110: PIDTL]</t>
  </si>
  <si>
    <t>[i111: PIDN]</t>
  </si>
  <si>
    <t>[i112: PTXID]</t>
  </si>
  <si>
    <t>Identificacion Fiscal de la persona (RFC)</t>
  </si>
  <si>
    <t>[i113: PG]</t>
  </si>
  <si>
    <t>Clave de Genero de la persona (1. Masc, 2. Fem)</t>
  </si>
  <si>
    <t>[i114: PGL]</t>
  </si>
  <si>
    <t>[i115: PMS]</t>
  </si>
  <si>
    <t>[i116: PMSL]</t>
  </si>
  <si>
    <t>[i117: PBD]</t>
  </si>
  <si>
    <t>[i118: PEM]</t>
  </si>
  <si>
    <t>[i119: PVF]</t>
  </si>
  <si>
    <t>[i120: PVFL]</t>
  </si>
  <si>
    <t>[i121: PCID]</t>
  </si>
  <si>
    <t>[i122: PDP]</t>
  </si>
  <si>
    <t>[i123: PED]</t>
  </si>
  <si>
    <t>[i124: PEDL]</t>
  </si>
  <si>
    <t>[i125: PSFN]</t>
  </si>
  <si>
    <t>[i126: PSSN]</t>
  </si>
  <si>
    <t>[i127: PSLN]</t>
  </si>
  <si>
    <t>[i128: PSSLN]</t>
  </si>
  <si>
    <t>[i129: PMOB]</t>
  </si>
  <si>
    <t>Numero de telefono celular de la persona</t>
  </si>
  <si>
    <t>[i130: PFNLNF]</t>
  </si>
  <si>
    <t>Nombre completo iniciando con el primer apellido</t>
  </si>
  <si>
    <t>[i131: PFNFNF]</t>
  </si>
  <si>
    <t>Nombre completo iniciando con el primer nombre</t>
  </si>
  <si>
    <t>[i132: PSFNLNF]</t>
  </si>
  <si>
    <t>Nombre completo conyuge inicia primer apellido</t>
  </si>
  <si>
    <t>[i133: PSFNFNF]</t>
  </si>
  <si>
    <t>Nombre completo del conyuge inicia primer nombre</t>
  </si>
  <si>
    <t>[i134: UID]</t>
  </si>
  <si>
    <t>[i135: PN20CH]</t>
  </si>
  <si>
    <t>[i136: PNAT]</t>
  </si>
  <si>
    <t>[i137: PAG]</t>
  </si>
  <si>
    <t>[i138: PAGPT]</t>
  </si>
  <si>
    <t>Edad acreditado mas plazo de solicitud de Credito</t>
  </si>
  <si>
    <t>Person age + Term of contract</t>
  </si>
  <si>
    <t>[i139: PLRAG]</t>
  </si>
  <si>
    <t>Edad del Representante Legal (Para Empresas)</t>
  </si>
  <si>
    <t>Age of Legal representant of the Company</t>
  </si>
  <si>
    <t>[i140: PLRAGPT]</t>
  </si>
  <si>
    <t>Edad del Rep. Legal (Empresa) mas plazo solicitud</t>
  </si>
  <si>
    <t>Age of Legal representant of the Company + Term of contract</t>
  </si>
  <si>
    <t>[i6373: PNAC]</t>
  </si>
  <si>
    <t>Pais donde Nacio</t>
  </si>
  <si>
    <t>[i141: PBSC]</t>
  </si>
  <si>
    <t>Clave del Estado donde nacio</t>
  </si>
  <si>
    <t>Birth State code</t>
  </si>
  <si>
    <t>[i142: PBSD]</t>
  </si>
  <si>
    <t>Estado donde Nacio</t>
  </si>
  <si>
    <t>Birth State</t>
  </si>
  <si>
    <t>[i143: PBSD]</t>
  </si>
  <si>
    <t>RFC del Representante Legal</t>
  </si>
  <si>
    <t>Treasury Representative Legal ID</t>
  </si>
  <si>
    <t>[i144: PBSD]</t>
  </si>
  <si>
    <t>Clave Regimen Matrimonial</t>
  </si>
  <si>
    <t>Marital Regime Code</t>
  </si>
  <si>
    <t>[i145: PBSD]</t>
  </si>
  <si>
    <t>Descripcion Regimen Matrimonial</t>
  </si>
  <si>
    <t>Marital Regine Description</t>
  </si>
  <si>
    <t>[i146: PBSD]</t>
  </si>
  <si>
    <t>CURP</t>
  </si>
  <si>
    <t>[i147: PJCONA]</t>
  </si>
  <si>
    <t>Nombre de la Empresa donde Labora</t>
  </si>
  <si>
    <t>Person Job Company Name</t>
  </si>
  <si>
    <t>[i151: PBNCL]</t>
  </si>
  <si>
    <t>Numero de clientes del portafolio del cliente</t>
  </si>
  <si>
    <t>Person Business Number of Customers</t>
  </si>
  <si>
    <t>[i152: PBNPCL]</t>
  </si>
  <si>
    <t>Principales Clientes (80% de las ventas)</t>
  </si>
  <si>
    <t>Person Business Number of Principal Customers</t>
  </si>
  <si>
    <t>[i153: PBMKT]</t>
  </si>
  <si>
    <t>Mercado de Influencia de productos o servicios</t>
  </si>
  <si>
    <t>Person Business Market</t>
  </si>
  <si>
    <t>[i154: PBMKTL]</t>
  </si>
  <si>
    <t>Etiqueta Mercado Influencia productos o servicios</t>
  </si>
  <si>
    <t>Person Business Market Label</t>
  </si>
  <si>
    <t>[i155: PBCLA]</t>
  </si>
  <si>
    <t>Antiguedad de Relacion con los clientes</t>
  </si>
  <si>
    <t>Person Business Customers Relationship antiquity</t>
  </si>
  <si>
    <t>[i156: PBER]</t>
  </si>
  <si>
    <t>Rotacion de Personal de la Empresa</t>
  </si>
  <si>
    <t>Person Business Employee Rotation</t>
  </si>
  <si>
    <t>[i157: PBERL]</t>
  </si>
  <si>
    <t>Etiqueta Rotacion de Personal de la Empresa</t>
  </si>
  <si>
    <t>Person Business Employee Rotation Label</t>
  </si>
  <si>
    <t>[i158: PBHLA]</t>
  </si>
  <si>
    <t>Disponibilidad de Mano de Obra</t>
  </si>
  <si>
    <t>Person Business Hand Labour Availability</t>
  </si>
  <si>
    <t>[i159: PBHLAL]</t>
  </si>
  <si>
    <t>Etiqueta Disponibilidad de Mano de Obra</t>
  </si>
  <si>
    <t>Person Business Hand Labour Availability Label</t>
  </si>
  <si>
    <t>[i160: PBMKE]</t>
  </si>
  <si>
    <t>Entorno del Mercado del Negocio</t>
  </si>
  <si>
    <t>Person Business Market Environment</t>
  </si>
  <si>
    <t>[i161: PBMKEL]</t>
  </si>
  <si>
    <t>Etiqueta Entorno del Mercado del Negocio</t>
  </si>
  <si>
    <t>Person Business Market Environment Label</t>
  </si>
  <si>
    <t>[i162: PBNPR]</t>
  </si>
  <si>
    <t>Numero de Proveedores de la Empresa</t>
  </si>
  <si>
    <t>Person Business Number of Providers</t>
  </si>
  <si>
    <t>[i163: PBNPR]</t>
  </si>
  <si>
    <t>Antiguedad de la Relacion con los Proveedores</t>
  </si>
  <si>
    <t>Person Business Providers Relationship antiquity</t>
  </si>
  <si>
    <t>[i169: PJPHN]</t>
  </si>
  <si>
    <t>Telefono del negocio o Empleo</t>
  </si>
  <si>
    <t>Person Business's or Job's Phone Number</t>
  </si>
  <si>
    <t>[i170: PJSA]</t>
  </si>
  <si>
    <t>[i171: PJSADD]</t>
  </si>
  <si>
    <t>Direccion Negocio/ Empleo (Calle Num Ext Num Int)</t>
  </si>
  <si>
    <t>[i172: PJNG]</t>
  </si>
  <si>
    <t>[i173: PJTS]</t>
  </si>
  <si>
    <t>[i174: PJC]</t>
  </si>
  <si>
    <t>[i175: PJZC]</t>
  </si>
  <si>
    <t>[i176: PJY]</t>
  </si>
  <si>
    <t>[i177: PJM]</t>
  </si>
  <si>
    <t>Meses antiguedad en empleo o negocio</t>
  </si>
  <si>
    <t>[i178: PJBST]</t>
  </si>
  <si>
    <t>Tipo de Negocio (Nuevo, En Operacion, Reinicio)</t>
  </si>
  <si>
    <t>Person Job Business Type</t>
  </si>
  <si>
    <t>[i179: PJMBC]</t>
  </si>
  <si>
    <t>Antiguedad de creacion del negocio</t>
  </si>
  <si>
    <t>Person Job operation old</t>
  </si>
  <si>
    <t>[i180: PJYM]</t>
  </si>
  <si>
    <t xml:space="preserve">Antiguedad empleo/negocio: (Years*12)+ Months </t>
  </si>
  <si>
    <t>Person Job antiquity</t>
  </si>
  <si>
    <t>[i181: PJYMP]</t>
  </si>
  <si>
    <t xml:space="preserve">Antiguedad ant empleo/negocio: (Years*12)+ Months </t>
  </si>
  <si>
    <t>Person Previous Job antiquity</t>
  </si>
  <si>
    <t>[i182: PBSEC]</t>
  </si>
  <si>
    <t>Sector Economico de la Empresa</t>
  </si>
  <si>
    <t xml:space="preserve">Person Job Economy sector </t>
  </si>
  <si>
    <t>[i183: PBNEMPL]</t>
  </si>
  <si>
    <t>Numero de empleados de la Empresa</t>
  </si>
  <si>
    <t>Person Business Number of Empleyees</t>
  </si>
  <si>
    <t>[i184: PBNEMPLSS]</t>
  </si>
  <si>
    <t>Porcentaje de empleados con IMSS</t>
  </si>
  <si>
    <t>Percetage of employees with Social Security Registration</t>
  </si>
  <si>
    <t>[i185: PBYMSEC]</t>
  </si>
  <si>
    <t>Antiguedad en el sector o actividad economica</t>
  </si>
  <si>
    <t>Person Business activity/sector antiquity</t>
  </si>
  <si>
    <t>[i186: PBYMENT]</t>
  </si>
  <si>
    <t>Antiguedad del cliente como empresario</t>
  </si>
  <si>
    <t>Person Business enterpreneur antiquity</t>
  </si>
  <si>
    <t>[i187: PBTDR]</t>
  </si>
  <si>
    <t>Registro de la empresa en Hacienda</t>
  </si>
  <si>
    <t>Person Business Tax Department Registration</t>
  </si>
  <si>
    <t>[i188: PBTDR]</t>
  </si>
  <si>
    <t>Etiqueta Registro de la empresa en Hacienda</t>
  </si>
  <si>
    <t>Person Business Tax Department Registration Label</t>
  </si>
  <si>
    <t>[i189: PBTPR]</t>
  </si>
  <si>
    <t>Tipo de Productos que comercializa el negocio</t>
  </si>
  <si>
    <t>Person Business Product Type</t>
  </si>
  <si>
    <t>[i190: PBTPRL]</t>
  </si>
  <si>
    <t>Etiqueta Tipo Productos que comercializa</t>
  </si>
  <si>
    <t>Person Business Product Type Label</t>
  </si>
  <si>
    <t>[i191: PBSECL]</t>
  </si>
  <si>
    <t>Descripcion del Sector Economico de la Empresa</t>
  </si>
  <si>
    <t>Person Job Economy sector Description</t>
  </si>
  <si>
    <t>[i192: PJBSTL]</t>
  </si>
  <si>
    <t>Etiqueta Tipo Negocio (1.Nuevo, 2.Opera, 3.Reinic)</t>
  </si>
  <si>
    <t>Person Job Business Type Label</t>
  </si>
  <si>
    <t>[i193: PBPROW]</t>
  </si>
  <si>
    <t>Tipo de Propiedad del Negocio / Trabajo</t>
  </si>
  <si>
    <t>Person Job Ownership Type</t>
  </si>
  <si>
    <t>[i194: PBPROWL]</t>
  </si>
  <si>
    <t>Etiqueta Tipo de Propiedad del Negocio / Trabajo</t>
  </si>
  <si>
    <t>Person Job Ownership Type Label</t>
  </si>
  <si>
    <t>[i195: PBCNDAT]</t>
  </si>
  <si>
    <t>Fecha de Constitucion del Negocio/ Fecha Contratacion (Empleados)</t>
  </si>
  <si>
    <t>Person Business Constitution Date / Person Job Hired Date</t>
  </si>
  <si>
    <t>[i196: PJPAY]</t>
  </si>
  <si>
    <t>Sueldo del Cliente</t>
  </si>
  <si>
    <t>Person Job Payment</t>
  </si>
  <si>
    <t>[i197: PJPOTT]</t>
  </si>
  <si>
    <t>Puesto en el trabajo</t>
  </si>
  <si>
    <t>Person Job Position</t>
  </si>
  <si>
    <t>[i199: JoBoss]</t>
  </si>
  <si>
    <t>Jefe directo</t>
  </si>
  <si>
    <t>Person Job Boss</t>
  </si>
  <si>
    <t>[i201: ADT]</t>
  </si>
  <si>
    <t>Clave de Tipo de Domicilio  (* ver anotación abajo para otros domicilios)</t>
  </si>
  <si>
    <t>[i202: ADTL]</t>
  </si>
  <si>
    <t>[i203: ADPY]</t>
  </si>
  <si>
    <t>[i204: ADPYL]</t>
  </si>
  <si>
    <t>[i205: ADST]</t>
  </si>
  <si>
    <t>[i206: ADEX]</t>
  </si>
  <si>
    <t>Numero exterior del Acreditado</t>
  </si>
  <si>
    <t>[i207: ADIN]</t>
  </si>
  <si>
    <t>[i208: ADCR]</t>
  </si>
  <si>
    <t>[i209: ADNG]</t>
  </si>
  <si>
    <t>[i210: ADTS]</t>
  </si>
  <si>
    <t>Localidad del Acreditado / Delegacion</t>
  </si>
  <si>
    <t>[i211: ADTS]</t>
  </si>
  <si>
    <t xml:space="preserve">Municipio / Ciudad del Acreditado </t>
  </si>
  <si>
    <t>[i212: ADSTID]</t>
  </si>
  <si>
    <t>[i213: ADCTYID]</t>
  </si>
  <si>
    <t>[i214: ADZC]</t>
  </si>
  <si>
    <t>[i215: ADPHN]</t>
  </si>
  <si>
    <t>Numero Telefonico, Telefono</t>
  </si>
  <si>
    <t>[i216: ADCMM]</t>
  </si>
  <si>
    <t>[i217: ADY]</t>
  </si>
  <si>
    <t>[i218: ADMH]</t>
  </si>
  <si>
    <t>[i219: ADVF]</t>
  </si>
  <si>
    <t>[i220: ADVFL]</t>
  </si>
  <si>
    <t>[i221: ADFL]</t>
  </si>
  <si>
    <t>[i222: ADSTD]</t>
  </si>
  <si>
    <t>[i223: ADCTYD]</t>
  </si>
  <si>
    <t>[i224: ADSH]</t>
  </si>
  <si>
    <t>Direccion corta domicilio (Calle Num Ext Num Int)</t>
  </si>
  <si>
    <t>[i225: ADYMH]</t>
  </si>
  <si>
    <t>Tiempo residencia (en Meses)</t>
  </si>
  <si>
    <t>Address antiquity</t>
  </si>
  <si>
    <t>[i226: ADYMHP]</t>
  </si>
  <si>
    <t>Tiempo de residencia (Meses) en domicilio anterior</t>
  </si>
  <si>
    <t>Previous Address antiquity</t>
  </si>
  <si>
    <t>[i227: ADYMHTS]</t>
  </si>
  <si>
    <t>Arraigo (Meses) en localidad del domicilio actual</t>
  </si>
  <si>
    <t>Address Township antiquity</t>
  </si>
  <si>
    <t>[i228: ADFLP]</t>
  </si>
  <si>
    <t>Direccion completa del domicilio anterior</t>
  </si>
  <si>
    <t>Address Full Previous Residence</t>
  </si>
  <si>
    <t>[i250: PRN]</t>
  </si>
  <si>
    <t>Numero de Referencias Personales Verificadas</t>
  </si>
  <si>
    <t>Number of Personnel References Verified</t>
  </si>
  <si>
    <t>[i251: PRVR]</t>
  </si>
  <si>
    <t>Resultado verificacion de Ref. Personales</t>
  </si>
  <si>
    <t>Personnel References Verification results</t>
  </si>
  <si>
    <t>[i252: PRVRL]</t>
  </si>
  <si>
    <t>Etiqueta Resultado verificacion de Ref. Personales</t>
  </si>
  <si>
    <t>Personnel References Verification results Label</t>
  </si>
  <si>
    <t>[i253: PRRON]</t>
  </si>
  <si>
    <t>Nombre del Arrendador (Ref. Tipo Arrendador = 30)</t>
  </si>
  <si>
    <t>Personal Reference Housing Rental Owner Name</t>
  </si>
  <si>
    <t>[i254: PRROPH]</t>
  </si>
  <si>
    <t>Telefono del Arrendador</t>
  </si>
  <si>
    <t>Personal Reference Housing Rental Owner Phone Number</t>
  </si>
  <si>
    <t>[i255: PRMRF]</t>
  </si>
  <si>
    <t>Telefono de recados</t>
  </si>
  <si>
    <t>Messages Reference</t>
  </si>
  <si>
    <t>[i258: PRVRAL]</t>
  </si>
  <si>
    <t xml:space="preserve">Etiqueta Recomendacion del Agente Operador </t>
  </si>
  <si>
    <t xml:space="preserve">Grade of the Salesman Interview Label </t>
  </si>
  <si>
    <t>[i259: PRVRA]</t>
  </si>
  <si>
    <t xml:space="preserve">Recomendacion del Agente Operador </t>
  </si>
  <si>
    <t>Grade of the Salesman Interview</t>
  </si>
  <si>
    <t>[i260: CRN1]</t>
  </si>
  <si>
    <t>Numero de Referencias comerciales Tipo 1</t>
  </si>
  <si>
    <t>Number of Type 1 Commercial References Verified</t>
  </si>
  <si>
    <t>[i261: CRVR1]</t>
  </si>
  <si>
    <t>Resultado verificac Referencias comerciales Tipo 1</t>
  </si>
  <si>
    <t>Type 1 Commercial References Verification results</t>
  </si>
  <si>
    <t>[i262: CRN2]</t>
  </si>
  <si>
    <t>Numero de Referencias comerciales Tipo 2</t>
  </si>
  <si>
    <t>Number of Type 2 Commercial References Verified</t>
  </si>
  <si>
    <t>[i263: CRVR2]</t>
  </si>
  <si>
    <t>Resultado verificac Referencias comerciales Tipo 2</t>
  </si>
  <si>
    <t>Type 2 Commercial References Verification results</t>
  </si>
  <si>
    <t>[i264: CRN3]</t>
  </si>
  <si>
    <t>Numero de Referencias comerciales Tipo 3</t>
  </si>
  <si>
    <t>Number of Type 3 Commercial References Verified</t>
  </si>
  <si>
    <t>[i265: CRVR3]</t>
  </si>
  <si>
    <t>Resultado verificac Referencias comerciales Tipo 3</t>
  </si>
  <si>
    <t>Type 3 Commercial References Verification results</t>
  </si>
  <si>
    <t>[i266: CRN]</t>
  </si>
  <si>
    <t xml:space="preserve">Numero Total de Referencias comerciales </t>
  </si>
  <si>
    <t>Total Number Commercial References Verified</t>
  </si>
  <si>
    <t>[i267: CRVR]</t>
  </si>
  <si>
    <t xml:space="preserve">Resultado de verificacion Referencias comerciales </t>
  </si>
  <si>
    <t>Commercial References Verification results</t>
  </si>
  <si>
    <t>[i268: CRVRL]</t>
  </si>
  <si>
    <t xml:space="preserve">Etiqueta Resultado verificac Ref. comerciales </t>
  </si>
  <si>
    <t>Commercial References Verification results Label</t>
  </si>
  <si>
    <t>[i271: BIGRD]</t>
  </si>
  <si>
    <t>Resultado de la calificacion de Buro Interno</t>
  </si>
  <si>
    <t>Internal Bureau Grade</t>
  </si>
  <si>
    <t>[i272: BIGRDL]</t>
  </si>
  <si>
    <t>Etiqueta Calificacion de Buro Interno</t>
  </si>
  <si>
    <t>Internal Bureau Grade Label</t>
  </si>
  <si>
    <t>[i281: BEGRD]</t>
  </si>
  <si>
    <t>Resultado de la calificacion de Buro Externo</t>
  </si>
  <si>
    <t>External Bureau Grade</t>
  </si>
  <si>
    <t>[i282: BEGRDL]</t>
  </si>
  <si>
    <t>Etiqueta Calificacion de Buro Externo</t>
  </si>
  <si>
    <t>External Bureau Grade Label</t>
  </si>
  <si>
    <t>[r34:TA]</t>
  </si>
  <si>
    <t xml:space="preserve">Reporte de tabla de amortización </t>
  </si>
  <si>
    <t>DD</t>
  </si>
  <si>
    <t>[i300: APID]</t>
  </si>
  <si>
    <t>[i301: APST]</t>
  </si>
  <si>
    <t>[i302: APSTL]</t>
  </si>
  <si>
    <t>[i303: APRF]</t>
  </si>
  <si>
    <t>Numero de referencia de solicitud-Numero contrato</t>
  </si>
  <si>
    <t>[i304: APMVID]</t>
  </si>
  <si>
    <t>[i305: APMVD]</t>
  </si>
  <si>
    <t>Descripcion Motivo o subestatus de la solicitud</t>
  </si>
  <si>
    <t>[i306: APLCMM]</t>
  </si>
  <si>
    <t>[i307: APASL]</t>
  </si>
  <si>
    <t>[i308: APEXID]</t>
  </si>
  <si>
    <t>[i309: APRFNO]</t>
  </si>
  <si>
    <t>[i310: APPY]</t>
  </si>
  <si>
    <t>Numero de Pagos de la solicitud (Plazo)</t>
  </si>
  <si>
    <t>[i311: APPYTX]</t>
  </si>
  <si>
    <t>[i312: APBRMGR]</t>
  </si>
  <si>
    <t>[i313: APRELNCA]</t>
  </si>
  <si>
    <t>[i314: APRELNCL]</t>
  </si>
  <si>
    <t>Nombre del Aval. Para Grupales todos los avales</t>
  </si>
  <si>
    <t>[i315: APCAT]</t>
  </si>
  <si>
    <t>[i316: APAA]</t>
  </si>
  <si>
    <t>[i317: APIR]</t>
  </si>
  <si>
    <t>[i318: APCHGR]</t>
  </si>
  <si>
    <t>[i319: APCMMR]</t>
  </si>
  <si>
    <t>[i320: APPYA]</t>
  </si>
  <si>
    <t>Monto de Pago Numero (Cuota)</t>
  </si>
  <si>
    <t>[i321: APMHPYN]</t>
  </si>
  <si>
    <t>Numero de Pagos Mensuales</t>
  </si>
  <si>
    <t>[i322: APFQ]</t>
  </si>
  <si>
    <t>[i323: APAATX]</t>
  </si>
  <si>
    <t>[i324: APFPYD]</t>
  </si>
  <si>
    <t>[i325: APFA]</t>
  </si>
  <si>
    <t>[i326: APINT]</t>
  </si>
  <si>
    <t>[i327: APINTT]</t>
  </si>
  <si>
    <t>[i328: APTPY]</t>
  </si>
  <si>
    <t>Suma de todos los pagos del credito (monto pagare)</t>
  </si>
  <si>
    <t>[i329: APSTD]</t>
  </si>
  <si>
    <t>[i330: APAF]</t>
  </si>
  <si>
    <t>Numero de Nomina o Afiliacion</t>
  </si>
  <si>
    <t>[i331: APAFID]</t>
  </si>
  <si>
    <t>[i332: APAFD]</t>
  </si>
  <si>
    <t>[i333: APSMID]</t>
  </si>
  <si>
    <t>[i334: APSMN]</t>
  </si>
  <si>
    <t>[i335: APSVID]</t>
  </si>
  <si>
    <t>Identificador supervisor/coordinad Asesor Negocios</t>
  </si>
  <si>
    <t>[i336: APSVN]</t>
  </si>
  <si>
    <t>[i337: APFQC]</t>
  </si>
  <si>
    <t>Frecuencia de Pago calendario - Periodos</t>
  </si>
  <si>
    <t>[i338: CRNPYT]</t>
  </si>
  <si>
    <t>Numero de pagos mensuales del credito en letras</t>
  </si>
  <si>
    <t>Credit Number of Monthly Payment Text</t>
  </si>
  <si>
    <t>[i339: APCMRT]</t>
  </si>
  <si>
    <t>[i340: APCMMA]</t>
  </si>
  <si>
    <t>[i341: APCMMTX]</t>
  </si>
  <si>
    <t>[i342: APCMMT]</t>
  </si>
  <si>
    <t>[i343: APINSA]</t>
  </si>
  <si>
    <t>[i344: APINSTX]</t>
  </si>
  <si>
    <t>[i345: APINST]</t>
  </si>
  <si>
    <t>[i346: APINSF]</t>
  </si>
  <si>
    <t>[i347: APIRT]</t>
  </si>
  <si>
    <t>[i348: APCNA]</t>
  </si>
  <si>
    <t>[i349: APCNAT]</t>
  </si>
  <si>
    <t>[i350: APMDST]</t>
  </si>
  <si>
    <t>[i351: APMH2CP]</t>
  </si>
  <si>
    <t>[i352: APMHCP]</t>
  </si>
  <si>
    <t>[i353: APPV]</t>
  </si>
  <si>
    <t>[i354: AIRD]</t>
  </si>
  <si>
    <t>Tasa de interes con descuento por pago oportuno</t>
  </si>
  <si>
    <t>[i355: AIRDT]</t>
  </si>
  <si>
    <t>Tasa interes (letras) con descuento pago oportuno</t>
  </si>
  <si>
    <t>[i356: APPRD]</t>
  </si>
  <si>
    <t>Nombre / descripcion del financiamiento (Programa)</t>
  </si>
  <si>
    <t>[i357: APDPN]</t>
  </si>
  <si>
    <t>[i358: APACCN]</t>
  </si>
  <si>
    <t>Numero de cuenta Bancaria (CLABE) para disposicion</t>
  </si>
  <si>
    <t>[i359: APBA]</t>
  </si>
  <si>
    <t>[i360: APPYAT]</t>
  </si>
  <si>
    <t>[i361: APPYDYS]</t>
  </si>
  <si>
    <t>Numero de dias para cada pago (Frecuencia)</t>
  </si>
  <si>
    <t>[i362: APCATT]</t>
  </si>
  <si>
    <t>[i363: APMDSD]</t>
  </si>
  <si>
    <t>Descripcion Destino del Credito</t>
  </si>
  <si>
    <t>App Main Destination Description</t>
  </si>
  <si>
    <t>[i364: APBNKA]</t>
  </si>
  <si>
    <t>Nombre del banco para la disposicion</t>
  </si>
  <si>
    <t>App Bank Account</t>
  </si>
  <si>
    <t>[i365: APGUAA]</t>
  </si>
  <si>
    <t>Importe de la Garantia Real Ofrecida</t>
  </si>
  <si>
    <t>App Guarantee Amount</t>
  </si>
  <si>
    <t>[i366: APGUAAG]</t>
  </si>
  <si>
    <t>Importe Garantia Real Ofrecida por un tercero</t>
  </si>
  <si>
    <t>App Guarantee Amount by a tird party guarantor</t>
  </si>
  <si>
    <t>[i367: APGUAD]</t>
  </si>
  <si>
    <t>Descripcion de la Garantia Real</t>
  </si>
  <si>
    <t>App Guarantee Description</t>
  </si>
  <si>
    <t>[i368: APGUAT]</t>
  </si>
  <si>
    <t>Tipo de Garantia ofrecida para el credito</t>
  </si>
  <si>
    <t>App Guarantee type</t>
  </si>
  <si>
    <t>[i369: APGUATL]</t>
  </si>
  <si>
    <t>Etiqueta Tipo de Garantia ofrecida para el credito</t>
  </si>
  <si>
    <t>App Guarantee type Label</t>
  </si>
  <si>
    <t>[i370: APPRGP]</t>
  </si>
  <si>
    <t>Periodo de Gracia de Capital</t>
  </si>
  <si>
    <t>App Principal Grace Period</t>
  </si>
  <si>
    <t>[i371: APPRGPL]</t>
  </si>
  <si>
    <t>Periodo de Gracia de Capital en Letras</t>
  </si>
  <si>
    <t>App Principal Grace Period Letters</t>
  </si>
  <si>
    <t>[i372: APINGP]</t>
  </si>
  <si>
    <t>Periodo de Gracia de Intereses</t>
  </si>
  <si>
    <t>App interest Grace Period</t>
  </si>
  <si>
    <t>[i373: APINGPL]</t>
  </si>
  <si>
    <t>Periodo de Gracia de Intereses en Letras</t>
  </si>
  <si>
    <t>App interest Grace Period Letters</t>
  </si>
  <si>
    <t>[i374: APTGP]</t>
  </si>
  <si>
    <t>Periodo de Gracia (Capital e Intereses)</t>
  </si>
  <si>
    <t>App Grace Period</t>
  </si>
  <si>
    <t>[i375: APTGPL]</t>
  </si>
  <si>
    <t>Periodo de Gracia (Capital e Intereses) en Letras</t>
  </si>
  <si>
    <t>App Grace Period Letters</t>
  </si>
  <si>
    <t>[i376: APEXRFN]</t>
  </si>
  <si>
    <t>[i377: APMOD]</t>
  </si>
  <si>
    <t>[i378: APFPYA]</t>
  </si>
  <si>
    <t>[i379: APDPTA]</t>
  </si>
  <si>
    <t>Importe de la disposicion</t>
  </si>
  <si>
    <t>App Disposition Amount</t>
  </si>
  <si>
    <t>[i380: APTGI]</t>
  </si>
  <si>
    <t>[i381: APTDI]</t>
  </si>
  <si>
    <t>Forma de Disposicion de la solicitud (Cheque, etc)</t>
  </si>
  <si>
    <t>[i382: AGRD]</t>
  </si>
  <si>
    <t>[i383: APCLTAD]</t>
  </si>
  <si>
    <t>Tipo de Aval + Calle y Numero del Aval</t>
  </si>
  <si>
    <t>[i384: APFPYAL]</t>
  </si>
  <si>
    <t>Importe del Primer Pago en Letras</t>
  </si>
  <si>
    <t>App First Payment Amount Letters</t>
  </si>
  <si>
    <t>[i385: APCLQTY]</t>
  </si>
  <si>
    <t>Cantidad de Avales de la Solicitud</t>
  </si>
  <si>
    <t>App Quantity of Collaterals</t>
  </si>
  <si>
    <t>[i386: APCLAW1]</t>
  </si>
  <si>
    <t>Nombre del Testigo a Ruego 1</t>
  </si>
  <si>
    <t>[i387: APCLAW2]</t>
  </si>
  <si>
    <t>Nombre del Testigo a Ruego 2</t>
  </si>
  <si>
    <t>[i388: APKNAS]</t>
  </si>
  <si>
    <t>[i389: APCLKNAS]</t>
  </si>
  <si>
    <t>[i390: APRLAW1]</t>
  </si>
  <si>
    <t>Nombre del Testigo a Ruego 1 del Aval</t>
  </si>
  <si>
    <t>[i391: APRLAW2]</t>
  </si>
  <si>
    <t>Nombre del Testigo a Ruego 2 del Aval</t>
  </si>
  <si>
    <t>[i392: APCLKNAS2]</t>
  </si>
  <si>
    <t>Tambien conocido como - Aval 2</t>
  </si>
  <si>
    <t>App Collateral 2 Known as</t>
  </si>
  <si>
    <t>[i393: APRLAW12]</t>
  </si>
  <si>
    <t>Nombre del Testigo a Ruego 1 del Aval 2</t>
  </si>
  <si>
    <t>App Relation 2 Asked witness 1</t>
  </si>
  <si>
    <t>[i394: APRLAW22]</t>
  </si>
  <si>
    <t>Nombre del Testigo a Ruego 2 del Aval 2</t>
  </si>
  <si>
    <t>App Relation 2 Asked witness 2</t>
  </si>
  <si>
    <t>[i395: APCLQTY]</t>
  </si>
  <si>
    <t>Saldo Liquidar creditos anteriores (Unificados)</t>
  </si>
  <si>
    <t>App previous Balance of credits to be unified</t>
  </si>
  <si>
    <t>[i396: APSBIR]</t>
  </si>
  <si>
    <t>Tasa de interes subsidiada</t>
  </si>
  <si>
    <t>App Subvention Interest Rate</t>
  </si>
  <si>
    <t>[i397: APSBIRT]</t>
  </si>
  <si>
    <t>Tasa de interes subsidiada en Letras</t>
  </si>
  <si>
    <t>App Subvention Interest Rate Text</t>
  </si>
  <si>
    <t>[i398: APINTXA]</t>
  </si>
  <si>
    <t>IVA de Intereses</t>
  </si>
  <si>
    <t>Interest Tax Amount</t>
  </si>
  <si>
    <t>[i399: APPRC]</t>
  </si>
  <si>
    <t>Clave  del financiamiento (Programa)</t>
  </si>
  <si>
    <t>App Product Code</t>
  </si>
  <si>
    <t>[i400: CRID]</t>
  </si>
  <si>
    <t>[i401: CRRF]</t>
  </si>
  <si>
    <t>Numero de Contrato asignado al credito (Referencia del credito)</t>
  </si>
  <si>
    <t>[i402: CRRFN]</t>
  </si>
  <si>
    <t>Numero de Contrato del credito sin guiones</t>
  </si>
  <si>
    <t>[i403: CRCRDC]</t>
  </si>
  <si>
    <t>[i404: CRCRDN]</t>
  </si>
  <si>
    <t>[i405: CRLPYD]</t>
  </si>
  <si>
    <t>[i406: CROPDT]</t>
  </si>
  <si>
    <t>[i407: CRAM]</t>
  </si>
  <si>
    <t>[i408: CRCMMA]</t>
  </si>
  <si>
    <t>[i409: CRAMT]</t>
  </si>
  <si>
    <t>[i410: CRAFRF]</t>
  </si>
  <si>
    <t>[i411: CRFDD]</t>
  </si>
  <si>
    <t>[i412: APLSD]</t>
  </si>
  <si>
    <t>[i413: CRIB]</t>
  </si>
  <si>
    <t>[i414: APLSU]</t>
  </si>
  <si>
    <t>Usuario de ultimo estatus de la solicitud</t>
  </si>
  <si>
    <t>[i415: CRSTD]</t>
  </si>
  <si>
    <t>Fecha de Estatus actual  del Credito</t>
  </si>
  <si>
    <t>Credit Status Date</t>
  </si>
  <si>
    <t>[i416: CRLEX]</t>
  </si>
  <si>
    <t>[i417:CRPRD]</t>
  </si>
  <si>
    <t>Credit Product Description</t>
  </si>
  <si>
    <t>[i419: CRLN]</t>
  </si>
  <si>
    <t>[i420: CRDPN]</t>
  </si>
  <si>
    <t>Credit Disposition Number</t>
  </si>
  <si>
    <t>[i421: CRPD]</t>
  </si>
  <si>
    <t>Dia de Pago del credito (solo con pago Mensual)</t>
  </si>
  <si>
    <t>Credit Payment Day (Only for Monthly period)</t>
  </si>
  <si>
    <t>[i422: CRLRF]</t>
  </si>
  <si>
    <t>[i423: CRLSD]</t>
  </si>
  <si>
    <t>[i424: CRCMMR]</t>
  </si>
  <si>
    <t>Credit Commission Rate</t>
  </si>
  <si>
    <t>[i425: CRCMMRL]</t>
  </si>
  <si>
    <t>Porcentaje de Comision Letras</t>
  </si>
  <si>
    <t>Credit Commission Rate Letters</t>
  </si>
  <si>
    <t>[i426: APIRWOT]</t>
  </si>
  <si>
    <t>Tasa de Interes Ordinario Sin IVA Numero</t>
  </si>
  <si>
    <t>App Interest Rate w/o Tax</t>
  </si>
  <si>
    <t>[i427: APIRWOTL]</t>
  </si>
  <si>
    <t>Tasa de Interes Ordinario Sin IVA Letras</t>
  </si>
  <si>
    <t>App Interest Rate w/o Tax Letter</t>
  </si>
  <si>
    <t>[i429: CRPYNKI]</t>
  </si>
  <si>
    <t>Numero Pagos/Cuotas Subsecuente</t>
  </si>
  <si>
    <t xml:space="preserve">Number of Credit Payments  (Principal + Interest) </t>
  </si>
  <si>
    <t>[i430: CRPYNKIL]</t>
  </si>
  <si>
    <t>Numero Pagos/Cuotas Subsecuente  Letras</t>
  </si>
  <si>
    <t>Number of Credit Payments  (Principal + Interest)  Letters</t>
  </si>
  <si>
    <t>[i431: CRPYKID]</t>
  </si>
  <si>
    <t xml:space="preserve">Fecha Primer Pago/Cuota Subsecuente </t>
  </si>
  <si>
    <t xml:space="preserve">Credit Payment Date (Principal + Interest) </t>
  </si>
  <si>
    <t>[i432: CRPYASB]</t>
  </si>
  <si>
    <t>Monto de Pago/Cuota Subsecuente (2o Pago) Numero</t>
  </si>
  <si>
    <t>Credit Second Payment Amount</t>
  </si>
  <si>
    <t>[i433: CRPYASBL]</t>
  </si>
  <si>
    <t>Monto de Pago/Cuota Subsecuente (2o Pago) Letras</t>
  </si>
  <si>
    <t>Credit Second Payment Amount Letters</t>
  </si>
  <si>
    <t>[i434: CRPYAKI]</t>
  </si>
  <si>
    <t>Monto de Pago/Cuota Subsecuente Numero</t>
  </si>
  <si>
    <t>Credit Payment Amount (Principal + Interest)</t>
  </si>
  <si>
    <t>[i435: CRPYAKIL]</t>
  </si>
  <si>
    <t>Monto de Pago/Cuota Subsecuente Letras</t>
  </si>
  <si>
    <t>Credit Payment Amount (Principal + Interest) Letters</t>
  </si>
  <si>
    <t>[i436: CRGPN]</t>
  </si>
  <si>
    <t>Numero de periodos de Gracia K e I menos 1</t>
  </si>
  <si>
    <t>Grace period or Principal or Interest less 1 Number</t>
  </si>
  <si>
    <t>[i437: CRGPNL]</t>
  </si>
  <si>
    <t>Numero de periodos de Gracia K e I menos 1 Letras</t>
  </si>
  <si>
    <t xml:space="preserve">Grace period or Principal or Interest less 1 Letters </t>
  </si>
  <si>
    <t>[i438: CRLPYD]</t>
  </si>
  <si>
    <t>Fecha del ultimo pago realizado por el cliente</t>
  </si>
  <si>
    <t>Credit Last Payment Date</t>
  </si>
  <si>
    <t>[i439: CREXRF]</t>
  </si>
  <si>
    <t>Referencia de Pago DXN</t>
  </si>
  <si>
    <t>Credit External Reference</t>
  </si>
  <si>
    <t>[i440: CRLQBL]</t>
  </si>
  <si>
    <t>Saldo a Liquidar del Credito</t>
  </si>
  <si>
    <t>Credit Liquidate Balance</t>
  </si>
  <si>
    <t>[i441: CRTOBL]</t>
  </si>
  <si>
    <t>Saldo Total del Credito</t>
  </si>
  <si>
    <t xml:space="preserve">Credit Balance </t>
  </si>
  <si>
    <t>[i442: SDOVDO]</t>
  </si>
  <si>
    <t>Saldo Total Vencido del Credito</t>
  </si>
  <si>
    <t>[i443: YFAPER]</t>
  </si>
  <si>
    <t>Año de fecha de apertura</t>
  </si>
  <si>
    <t>[i444: MFAPER]</t>
  </si>
  <si>
    <t>Mes de fecha de apertura leyenda de mes en español</t>
  </si>
  <si>
    <t>[i445: DFAPER]</t>
  </si>
  <si>
    <t>Dia de fecha de apertura</t>
  </si>
  <si>
    <t>[i446: FLPAGR]</t>
  </si>
  <si>
    <t xml:space="preserve">Fecha límite de pago </t>
  </si>
  <si>
    <t>[i447: CRDSAMT]</t>
  </si>
  <si>
    <t>Importe de Disposicion Numero</t>
  </si>
  <si>
    <t>Credit Disposition Amount Numbers</t>
  </si>
  <si>
    <t>[i448: CRDSAMTL]</t>
  </si>
  <si>
    <t>Importe de Disposicion Letras</t>
  </si>
  <si>
    <t>Credit Disposition Amount Letters</t>
  </si>
  <si>
    <t>[i449: NUMDOMI]</t>
  </si>
  <si>
    <t>Numero capturado en los datos de domiciliación de la solicitud</t>
  </si>
  <si>
    <t>[i449: APTEL]</t>
  </si>
  <si>
    <t>Numero Celular de la Persona asociada al Asesor de Ventas</t>
  </si>
  <si>
    <t>[i167:NE]</t>
  </si>
  <si>
    <t>[i168:NI]</t>
  </si>
  <si>
    <t>[i199:JI]</t>
  </si>
  <si>
    <t>[i501: SYSDMDY]</t>
  </si>
  <si>
    <t>[i502: SYSTHM]</t>
  </si>
  <si>
    <t>[i503: SYSDAY]</t>
  </si>
  <si>
    <t>[i504: SYSMHL]</t>
  </si>
  <si>
    <t>[i505: SYSY]</t>
  </si>
  <si>
    <t>[i506: SYSDT]</t>
  </si>
  <si>
    <t>[i507: SYSUN]</t>
  </si>
  <si>
    <t>Mes del sistema ##</t>
  </si>
  <si>
    <t>[i600: APRMSC]</t>
  </si>
  <si>
    <t>Puntaje obtenido por Arbol de decision</t>
  </si>
  <si>
    <t>App Risk Model Score</t>
  </si>
  <si>
    <t>[i601: APRMSCL]</t>
  </si>
  <si>
    <t>Recomendacion por Puntaje en Arbol de decision</t>
  </si>
  <si>
    <t>App Risk Model Recommendation</t>
  </si>
  <si>
    <t>[i602: APCLCBG]</t>
  </si>
  <si>
    <t>Calificacion de Buro de Credito del Aval 1</t>
  </si>
  <si>
    <t>Collateral External Bureau Grade</t>
  </si>
  <si>
    <t>[i603: APCLCBGL]</t>
  </si>
  <si>
    <t>Collateral External Bureau Grade Label</t>
  </si>
  <si>
    <t>[i604: APCLCBG2]</t>
  </si>
  <si>
    <t>Calificacion de Buro de Credito del Aval 2</t>
  </si>
  <si>
    <t>Collateral 2 External Bureau Grade</t>
  </si>
  <si>
    <t>[i605: APCLCBG2L]</t>
  </si>
  <si>
    <t>Collateral 2 External Bureau Grade Label</t>
  </si>
  <si>
    <t>[i606: APRMRM1]</t>
  </si>
  <si>
    <t>Motivo de Rechazo por Politicas de Riesgo (1)</t>
  </si>
  <si>
    <t>Risk Model Rejection Motive 1</t>
  </si>
  <si>
    <t>[i607: APRMRM2]</t>
  </si>
  <si>
    <t>Motivo de Rechazo por Politicas de Riesgo (2)</t>
  </si>
  <si>
    <t>Risk Model Rejection Motive 2</t>
  </si>
  <si>
    <t>[i608: APRMRM3]</t>
  </si>
  <si>
    <t>Motivo de Rechazo por Politicas de Riesgo (3)</t>
  </si>
  <si>
    <t>Risk Model Rejection Motive 3</t>
  </si>
  <si>
    <t>[i609: APRMRM4]</t>
  </si>
  <si>
    <t>Motivo de Rechazo por Politicas de Riesgo (4)</t>
  </si>
  <si>
    <t>Risk Model Rejection Motive 4</t>
  </si>
  <si>
    <t>[i610: APRMRM5]</t>
  </si>
  <si>
    <t>Motivo de Rechazo por Politicas de Riesgo (5)</t>
  </si>
  <si>
    <t>Risk Model Rejection Motive 5</t>
  </si>
  <si>
    <t>[i611: APRMRM6]</t>
  </si>
  <si>
    <t>Motivo de Rechazo por Politicas de Riesgo (6)</t>
  </si>
  <si>
    <t>Risk Model Rejection Motive 6</t>
  </si>
  <si>
    <t>[i612: APRMRM7]</t>
  </si>
  <si>
    <t>Motivo de Rechazo por Politicas de Riesgo (7)</t>
  </si>
  <si>
    <t>Risk Model Rejection Motive 7</t>
  </si>
  <si>
    <t>[i613: APRMRM8]</t>
  </si>
  <si>
    <t>Motivo de Rechazo por Politicas de Riesgo (8)</t>
  </si>
  <si>
    <t>Risk Model Rejection Motive 8</t>
  </si>
  <si>
    <t>[i614: APRMRM9]</t>
  </si>
  <si>
    <t>Motivo de Rechazo por Politicas de Riesgo (9)</t>
  </si>
  <si>
    <t>Risk Model Rejection Motive 9</t>
  </si>
  <si>
    <t>[i615: APRMRM10]</t>
  </si>
  <si>
    <t>Motivo de Rechazo por Politicas de Riesgo (10)</t>
  </si>
  <si>
    <t>Risk Model Rejection Motive 10</t>
  </si>
  <si>
    <t>[i618: APCCBG]</t>
  </si>
  <si>
    <t>Calificacion de Buro de Credito del Coacreditado</t>
  </si>
  <si>
    <t>Co-acredited External Bureau Grade</t>
  </si>
  <si>
    <t>[i619: APCCBGL]</t>
  </si>
  <si>
    <t>Co-acredited External Bureau Grade Label</t>
  </si>
  <si>
    <t>[i620: APLRCBG]</t>
  </si>
  <si>
    <t>Calificacion de Buro de Credito del Rep. Legal</t>
  </si>
  <si>
    <t>Legal Representant External Bureau Grade</t>
  </si>
  <si>
    <t>[i621: APLRCBGL]</t>
  </si>
  <si>
    <t>Etiqueta Calificacion Buro de Credito Rep. Legal</t>
  </si>
  <si>
    <t>Legal Representant External Bureau Grade Label</t>
  </si>
  <si>
    <t>[i622: APCPG]</t>
  </si>
  <si>
    <t>Clave de Campaña</t>
  </si>
  <si>
    <t>App Campaign Code</t>
  </si>
  <si>
    <t>[i623: APCPGD]</t>
  </si>
  <si>
    <t>Descripcion de la Campaña</t>
  </si>
  <si>
    <t>App Campaign Description</t>
  </si>
  <si>
    <t>[i624: APBRCH]</t>
  </si>
  <si>
    <t>Clave de Sucursal</t>
  </si>
  <si>
    <t>App Branch Code</t>
  </si>
  <si>
    <t>[i625: APBRCHD]</t>
  </si>
  <si>
    <t>Descripcion de la Sucursal</t>
  </si>
  <si>
    <t>App Branch Description</t>
  </si>
  <si>
    <t>[i626: APMINRT]</t>
  </si>
  <si>
    <t>Tasa de Interes Mensual</t>
  </si>
  <si>
    <t>App Monthly Interest Rate</t>
  </si>
  <si>
    <t>[i627: APMINRTL]</t>
  </si>
  <si>
    <t>Tasa de Interes Mensual en Letras</t>
  </si>
  <si>
    <t>App Monthly Interest Rate Letters</t>
  </si>
  <si>
    <t>[i628:cdv]</t>
  </si>
  <si>
    <t>Ciudad de la sucursal</t>
  </si>
  <si>
    <t>[i631: APGUAPH]</t>
  </si>
  <si>
    <t>Telefono de domicilio del  aval 1</t>
  </si>
  <si>
    <t>App guarantor 1 Phone Number</t>
  </si>
  <si>
    <t>[i632: APGUAAG]</t>
  </si>
  <si>
    <t>Importe Garantia Real Ofrecida por aval 1</t>
  </si>
  <si>
    <t>App Guarantee Amount `</t>
  </si>
  <si>
    <t>[i633: APGUAGT]</t>
  </si>
  <si>
    <t>Tipo de Garantia ofrecida por el Aval 1</t>
  </si>
  <si>
    <t>App Guarantee type by guarantor 1</t>
  </si>
  <si>
    <t>[i634: APGUAGTL]</t>
  </si>
  <si>
    <t>Etiqueta Tipo de Garantia ofrecida por el Aval 1</t>
  </si>
  <si>
    <t>App Guarantee type Label by guarantor 1</t>
  </si>
  <si>
    <t>[i635: APGUARN1]</t>
  </si>
  <si>
    <t>Nombre del Arrendador del Aval 1</t>
  </si>
  <si>
    <t>App Guarantor 1 Housing Rental Owner Name</t>
  </si>
  <si>
    <t>[i636: APGUARP1]</t>
  </si>
  <si>
    <t>Telefono del Arrendador del Aval 1</t>
  </si>
  <si>
    <t>App Guarantor 1 Housing Rental Owner Phone Number</t>
  </si>
  <si>
    <t>[i637: APGUATI1]</t>
  </si>
  <si>
    <t>RFC  aval 1</t>
  </si>
  <si>
    <t>App guarantor 1 Treasury Id</t>
  </si>
  <si>
    <t>[i651: APGUAPH2]</t>
  </si>
  <si>
    <t>Telefono de domicilio del  aval 2</t>
  </si>
  <si>
    <t>App guarantor 2 Phone Number</t>
  </si>
  <si>
    <t>[i652: APGUAAG2]</t>
  </si>
  <si>
    <t>Importe Garantia Real Ofrecida por aval 2</t>
  </si>
  <si>
    <t>App Guarantee Amount by guarantor 2</t>
  </si>
  <si>
    <t>[i653: APGUAGT2]</t>
  </si>
  <si>
    <t>Tipo de Garantia ofrecida por el Aval 2</t>
  </si>
  <si>
    <t>App Guarantee type by guarantor 2</t>
  </si>
  <si>
    <t>[i654: APGUAGTL2]</t>
  </si>
  <si>
    <t>Etiqueta Tipo de Garantia ofrecida por el Aval 2</t>
  </si>
  <si>
    <t>App Guarantee type Label by guarantor 2</t>
  </si>
  <si>
    <t>[i655: APGUARN1]</t>
  </si>
  <si>
    <t>Nombre del Arrendador del Aval 2</t>
  </si>
  <si>
    <t>App Guarantor 2 Housing Rental Owner Name</t>
  </si>
  <si>
    <t>[i656: APGUARP1]</t>
  </si>
  <si>
    <t>Telefono del Arrendador del Aval 2</t>
  </si>
  <si>
    <t>App Guarantor 2 Housing Rental Owner Phone Number</t>
  </si>
  <si>
    <t>[i657: APGUATI2]</t>
  </si>
  <si>
    <t>RFC  aval 2</t>
  </si>
  <si>
    <t>App guarantor 2 Treasury Id</t>
  </si>
  <si>
    <t>[i701: APRELNCL]</t>
  </si>
  <si>
    <t>Nombre del Aval</t>
  </si>
  <si>
    <t>[i702: APCLNAT]</t>
  </si>
  <si>
    <t>[i703: APCLT]</t>
  </si>
  <si>
    <t>[i704: APCLST]</t>
  </si>
  <si>
    <t>Calle Domicilio del Aval</t>
  </si>
  <si>
    <t>Street of App Collateral Address</t>
  </si>
  <si>
    <t>[i705: APCLEN]</t>
  </si>
  <si>
    <t>Numero Exterior Domicilio del Aval</t>
  </si>
  <si>
    <t>Exterior Number of App Collateral Address</t>
  </si>
  <si>
    <t>[i706: APCLIN]</t>
  </si>
  <si>
    <t>Numero Interior Domicilio del Aval</t>
  </si>
  <si>
    <t>Interior Number of App Collateral Address</t>
  </si>
  <si>
    <t>[i707: APCLCS]</t>
  </si>
  <si>
    <t>Cruzamiento del domicilio del Aval</t>
  </si>
  <si>
    <t>Cossing Street of App Collateral Address</t>
  </si>
  <si>
    <t>[i708: APCLNG]</t>
  </si>
  <si>
    <t>[i709: ACLTS]</t>
  </si>
  <si>
    <t>Localidad del Aval</t>
  </si>
  <si>
    <t>[i710: APCLCY]</t>
  </si>
  <si>
    <t>Municipio / Ciudad del Aval</t>
  </si>
  <si>
    <t>[i711: APRELNCL2]</t>
  </si>
  <si>
    <t xml:space="preserve">Nombre del Segundo Aval. </t>
  </si>
  <si>
    <t>App Second Relation Name (Collateral)</t>
  </si>
  <si>
    <t>[i712: APCLNAT2]</t>
  </si>
  <si>
    <t>Nacionalidad del Aval 2</t>
  </si>
  <si>
    <t>App Second Collateral Nationality</t>
  </si>
  <si>
    <t>[i713: APCLT2]</t>
  </si>
  <si>
    <t>Tipo de Relacion del Aval 2</t>
  </si>
  <si>
    <t>App Second Collateral Type</t>
  </si>
  <si>
    <t>[i714: APCLST2]</t>
  </si>
  <si>
    <t>Calle Domicilio del Aval 2</t>
  </si>
  <si>
    <t>Street of App Second Collateral Address 2</t>
  </si>
  <si>
    <t>[i715: APCLEN2]</t>
  </si>
  <si>
    <t>Numero Exterior Domicilio del Aval  2</t>
  </si>
  <si>
    <t>Exterior Number of App Collateral Address 2</t>
  </si>
  <si>
    <t>[i716: APCLIN2]</t>
  </si>
  <si>
    <t>Numero Interior Domicilio del Aval  2</t>
  </si>
  <si>
    <t>Interior Number of App Collateral Address 2</t>
  </si>
  <si>
    <t>[i717: APCLCS2]</t>
  </si>
  <si>
    <t>Cruzamiento Domicilio del Aval  2</t>
  </si>
  <si>
    <t>Cossing Street of App Collateral Address 2</t>
  </si>
  <si>
    <t>[i718: APCLNG2]</t>
  </si>
  <si>
    <t>Colonia del Aval 2</t>
  </si>
  <si>
    <t>App Collateral Neighborhood 2</t>
  </si>
  <si>
    <t>[i719: ACLTS2]</t>
  </si>
  <si>
    <t>Localidad del Aval 2</t>
  </si>
  <si>
    <t>App Collateral Township 2</t>
  </si>
  <si>
    <t>[i720: APCLCY2]</t>
  </si>
  <si>
    <t>Municipio / Ciudad del Aval 2</t>
  </si>
  <si>
    <t>App Collateral City 2</t>
  </si>
  <si>
    <t>[i721: APRLNSD]</t>
  </si>
  <si>
    <t>Nombre del Coacreditado</t>
  </si>
  <si>
    <t>App Relation Name (Second Debtor)</t>
  </si>
  <si>
    <t>[i722: APSDNT]</t>
  </si>
  <si>
    <t>Nacionalidad del Coacreditado</t>
  </si>
  <si>
    <t>App Second Debtor Nationality</t>
  </si>
  <si>
    <t>[i723: APSDT]</t>
  </si>
  <si>
    <t>Tipo de Relacion del Coacreditado</t>
  </si>
  <si>
    <t>App Second Debtor Type</t>
  </si>
  <si>
    <t>[i724: APSDST]</t>
  </si>
  <si>
    <t>Calle Domicilio del Coacreditado</t>
  </si>
  <si>
    <t>Street of App Second Debtor Address</t>
  </si>
  <si>
    <t>[i725: APSDEN]</t>
  </si>
  <si>
    <t>Numero Exterior Domicilio del Coacreditado</t>
  </si>
  <si>
    <t>Exterior Number of App Second Debtor Address</t>
  </si>
  <si>
    <t>[i726: APSDIN]</t>
  </si>
  <si>
    <t>Numero Interior Domicilio del Coacreditado</t>
  </si>
  <si>
    <t>Interior Number of App Second Debtor Address</t>
  </si>
  <si>
    <t>[i727: APSDCS]</t>
  </si>
  <si>
    <t>Cruzamiento del domicilio del Coacreditado</t>
  </si>
  <si>
    <t>Cossing Street of App Second Debtor Address</t>
  </si>
  <si>
    <t>[i728: APSDNG]</t>
  </si>
  <si>
    <t>Colonia del Coacreditado</t>
  </si>
  <si>
    <t>App Second Debtor Neighborhood</t>
  </si>
  <si>
    <t>[i729: ASDTS]</t>
  </si>
  <si>
    <t>Localidad del Coacreditado</t>
  </si>
  <si>
    <t>App Second Debtor Township</t>
  </si>
  <si>
    <t>[i730: APSDCY]</t>
  </si>
  <si>
    <t>Municipio / Ciudad del Coacreditado</t>
  </si>
  <si>
    <t>App Second Debtor City</t>
  </si>
  <si>
    <t>[i731: APRLNLR]</t>
  </si>
  <si>
    <t>Nombre del Representante Legal</t>
  </si>
  <si>
    <t>App Relation Name (Legal Rep)</t>
  </si>
  <si>
    <t>[i732: APLRNT]</t>
  </si>
  <si>
    <t>Nacionalidad del Rep. Legal</t>
  </si>
  <si>
    <t>App Legal Rep Nationality</t>
  </si>
  <si>
    <t>[i733: APLRT]</t>
  </si>
  <si>
    <t>Tipo de Relacion del Rep. Legal</t>
  </si>
  <si>
    <t>App Legal Rep Type</t>
  </si>
  <si>
    <t>[i734: APLRST]</t>
  </si>
  <si>
    <t>Calle Domicilio del Rep. Legal</t>
  </si>
  <si>
    <t>Street of App Legal Rep Address</t>
  </si>
  <si>
    <t>[i735: APLREN]</t>
  </si>
  <si>
    <t>Numero Exterior Domicilio del Rep. Legal</t>
  </si>
  <si>
    <t>Exterior Number of App Legal Rep Address</t>
  </si>
  <si>
    <t>[i736: APLRIN]</t>
  </si>
  <si>
    <t>Numero Interior Domicilio del Rep. Legal</t>
  </si>
  <si>
    <t>Interior Number of App Legal Rep Address</t>
  </si>
  <si>
    <t>[i737: APLRCS]</t>
  </si>
  <si>
    <t>Cruzamiento del domicilio del Rep. Legal</t>
  </si>
  <si>
    <t>Cossing Street of App Legal Rep Address</t>
  </si>
  <si>
    <t>[i738: APLRNG]</t>
  </si>
  <si>
    <t>Colonia del Rep. Legal</t>
  </si>
  <si>
    <t>App Legal Rep Neighborhood</t>
  </si>
  <si>
    <t>[i739: ALRTS]</t>
  </si>
  <si>
    <t>Localidad del Rep. Legal</t>
  </si>
  <si>
    <t>App Legal Rep Township</t>
  </si>
  <si>
    <t>[i740: APLRCY]</t>
  </si>
  <si>
    <t>Municipio / Ciudad del Rep. Legal</t>
  </si>
  <si>
    <t>App Legal Rep City</t>
  </si>
  <si>
    <t>[i741: APRLNLR2]</t>
  </si>
  <si>
    <t>Nombre del Representante Legal 2</t>
  </si>
  <si>
    <t>App Relation Name (Legal Rep 2)</t>
  </si>
  <si>
    <t>[i742: APLRNT2]</t>
  </si>
  <si>
    <t>Nacionalidad del Rep. Legal 2</t>
  </si>
  <si>
    <t>App Legal Rep 2 Nationality</t>
  </si>
  <si>
    <t>[i743: APLRT2]</t>
  </si>
  <si>
    <t>Tipo de Relacion del Rep. Legal 2</t>
  </si>
  <si>
    <t>App Legal Rep 2 Type</t>
  </si>
  <si>
    <t>[i744: APLRST2]</t>
  </si>
  <si>
    <t>Calle Domicilio del Rep. Legal 2</t>
  </si>
  <si>
    <t>Street of App Legal Rep 2 Address</t>
  </si>
  <si>
    <t>[i745: APLREN2]</t>
  </si>
  <si>
    <t>Numero Exterior Domicilio del Rep. Legal 2</t>
  </si>
  <si>
    <t>Exterior Number of App Legal Rep 2 Address</t>
  </si>
  <si>
    <t>[i746: APLRIN2]</t>
  </si>
  <si>
    <t>Numero Interior Domicilio del Rep. Legal 2</t>
  </si>
  <si>
    <t>Interior Number of App Legal Rep 2 Address</t>
  </si>
  <si>
    <t>[i747: APLRCS2]</t>
  </si>
  <si>
    <t>Cruzamiento del domicilio del Rep. Legal 2</t>
  </si>
  <si>
    <t>Cossing Street of App Legal Rep 2 Address</t>
  </si>
  <si>
    <t>[i748: APLRNG2]</t>
  </si>
  <si>
    <t>Colonia del Rep. Legal 2</t>
  </si>
  <si>
    <t>App Legal Rep 2 Neighborhood</t>
  </si>
  <si>
    <t>[i749: ALRTS2]</t>
  </si>
  <si>
    <t>Localidad del Rep. Legal 2</t>
  </si>
  <si>
    <t>App Legal Rep 2 Township</t>
  </si>
  <si>
    <t>[i750: APLRCY2]</t>
  </si>
  <si>
    <t>Municipio / Ciudad del Rep. Legal 2</t>
  </si>
  <si>
    <t>App Legal Rep 2 City</t>
  </si>
  <si>
    <t>[i751: APRLNLR3]</t>
  </si>
  <si>
    <t>Nombre del Representante Legal 3</t>
  </si>
  <si>
    <t>App Relation Name (Legal Rep 3)</t>
  </si>
  <si>
    <t>[i752: APLRNT3]</t>
  </si>
  <si>
    <t>Nacionalidad del Rep. Legal 3</t>
  </si>
  <si>
    <t>App Legal Rep 3 Nationality</t>
  </si>
  <si>
    <t>[i753: APLRT3]</t>
  </si>
  <si>
    <t>Tipo de Relacion del Rep. Legal 3</t>
  </si>
  <si>
    <t>App Legal Rep 3 Type</t>
  </si>
  <si>
    <t>[i754: APLRST3]</t>
  </si>
  <si>
    <t>Calle Domicilio del Rep. Legal 3</t>
  </si>
  <si>
    <t>Street of App Legal Rep 3 Address</t>
  </si>
  <si>
    <t>[i755: APLREN3]</t>
  </si>
  <si>
    <t>Numero Exterior Domicilio del Rep. Legal 3</t>
  </si>
  <si>
    <t>Exterior Number of App Legal Rep 3 Address</t>
  </si>
  <si>
    <t>[i756: APLRIN3]</t>
  </si>
  <si>
    <t>Numero Interior Domicilio del Rep. Legal 3</t>
  </si>
  <si>
    <t>Interior Number of App Legal Rep 3 Address</t>
  </si>
  <si>
    <t>[i757: APLRCS3]</t>
  </si>
  <si>
    <t>Cruzamiento del domicilio del Rep. Legal 3</t>
  </si>
  <si>
    <t>Cossing Street of App Legal Rep 3 Address</t>
  </si>
  <si>
    <t>[i758: APLRNG3]</t>
  </si>
  <si>
    <t>Colonia del Rep. Legal 3</t>
  </si>
  <si>
    <t>App Legal Rep 3 Neighborhood</t>
  </si>
  <si>
    <t>[i759: ALRTS3]</t>
  </si>
  <si>
    <t>Localidad del Rep. Legal 3</t>
  </si>
  <si>
    <t>App Legal Rep 3 Township</t>
  </si>
  <si>
    <t>[i760: APLRCY3]</t>
  </si>
  <si>
    <t>Municipio / Ciudad del Rep. Legal 3</t>
  </si>
  <si>
    <t>App Legal Rep 3 City</t>
  </si>
  <si>
    <t>[i761: APRLNGU]</t>
  </si>
  <si>
    <t>Nombre del Garante</t>
  </si>
  <si>
    <t>App Relation Name (Guarantor)</t>
  </si>
  <si>
    <t>[i762: APGUNT]</t>
  </si>
  <si>
    <t>Nacionalidad del Garante</t>
  </si>
  <si>
    <t>App Guarantor Nationality</t>
  </si>
  <si>
    <t>[i763: APGUT]</t>
  </si>
  <si>
    <t>Tipo de Relacion del Garante</t>
  </si>
  <si>
    <t>App Guarantor Type</t>
  </si>
  <si>
    <t>[i764: APGUST]</t>
  </si>
  <si>
    <t>Calle Domicilio del Garante</t>
  </si>
  <si>
    <t>Street of App Guarantor Address</t>
  </si>
  <si>
    <t>[i765: APGUEN]</t>
  </si>
  <si>
    <t>Numero Exterior Domicilio del Garante</t>
  </si>
  <si>
    <t>Exterior Number of App Guarantor Address</t>
  </si>
  <si>
    <t>[i766: APGUIN]</t>
  </si>
  <si>
    <t>Numero Interior Domicilio del Garante</t>
  </si>
  <si>
    <t>Interior Number of App Guarantor Address</t>
  </si>
  <si>
    <t>[i767: APGUCS]</t>
  </si>
  <si>
    <t>Cruzamiento del domicilio del Garante</t>
  </si>
  <si>
    <t>Cossing Street of App Guarantor Address</t>
  </si>
  <si>
    <t>[i768: APGUNG]</t>
  </si>
  <si>
    <t>Colonia del Garante</t>
  </si>
  <si>
    <t>App Guarantor Neighborhood</t>
  </si>
  <si>
    <t>[i769: AGUTS]</t>
  </si>
  <si>
    <t>Localidad del Garante</t>
  </si>
  <si>
    <t>App Guarantor Township</t>
  </si>
  <si>
    <t>[i770: APGUCY]</t>
  </si>
  <si>
    <t>Municipio / Ciudad del Garante</t>
  </si>
  <si>
    <t>App Guarantor City</t>
  </si>
  <si>
    <t>[i771: APRLNGU2]</t>
  </si>
  <si>
    <t>Nombre del Garante 2</t>
  </si>
  <si>
    <t>App Relation Name (Guarantor 2)</t>
  </si>
  <si>
    <t>[i772: APGUNT2]</t>
  </si>
  <si>
    <t>Nacionalidad del Garante 2</t>
  </si>
  <si>
    <t>App Guarantor 2 Nationality</t>
  </si>
  <si>
    <t>[i773: APGUT2]</t>
  </si>
  <si>
    <t>Tipo de Relacion del Garante 2</t>
  </si>
  <si>
    <t>App Guarantor 2 Type</t>
  </si>
  <si>
    <t>[i774: APGUST2]</t>
  </si>
  <si>
    <t>Calle Domicilio del Garante 2</t>
  </si>
  <si>
    <t>Street of App Guarantor 2 Address</t>
  </si>
  <si>
    <t>[i775: APGUEN2]</t>
  </si>
  <si>
    <t>Numero Exterior Domicilio del Garante 2</t>
  </si>
  <si>
    <t>Exterior Number of App Guarantor 2 Address</t>
  </si>
  <si>
    <t>[i776: APGUIN2]</t>
  </si>
  <si>
    <t>Numero Interior Domicilio del Garante 2</t>
  </si>
  <si>
    <t>Interior Number of App Guarantor 2 Address</t>
  </si>
  <si>
    <t>[i777: APGUCS2]</t>
  </si>
  <si>
    <t>Cruzamiento del domicilio del Garante 2</t>
  </si>
  <si>
    <t>Cossing Street of App Guarantor 2 Address</t>
  </si>
  <si>
    <t>[i778: APGUNG2]</t>
  </si>
  <si>
    <t>Colonia del Garante 2</t>
  </si>
  <si>
    <t>App Guarantor 2 Neighborhood</t>
  </si>
  <si>
    <t>[i779: AGUTS2]</t>
  </si>
  <si>
    <t>Localidad del Garante 2</t>
  </si>
  <si>
    <t>App Guarantor 2 Township</t>
  </si>
  <si>
    <t>[i780: APGUCY2]</t>
  </si>
  <si>
    <t>Municipio / Ciudad del Garante 2</t>
  </si>
  <si>
    <t>App Guarantor 2 City</t>
  </si>
  <si>
    <t>[i801: CRBALK]</t>
  </si>
  <si>
    <t>Saldo Capital del crédito sin reestructura-numero</t>
  </si>
  <si>
    <t>Credit Principal Balance</t>
  </si>
  <si>
    <t>[i802: CRBALI]</t>
  </si>
  <si>
    <t>Saldo Intereses de crédito sin reestructura-numero</t>
  </si>
  <si>
    <t>Credit Interest Balance</t>
  </si>
  <si>
    <t>[i803: CRBALM]</t>
  </si>
  <si>
    <t>Saldo Moratorios crédito sin reestructura-numero</t>
  </si>
  <si>
    <t>Credit Late Interest Balance</t>
  </si>
  <si>
    <t>[i804: CRBALCF]</t>
  </si>
  <si>
    <t>Saldo Gastos Cobr. crédito sin reestructura-numero</t>
  </si>
  <si>
    <t>Credit Collecting Fee Balance</t>
  </si>
  <si>
    <t>[i805: CRBALT]</t>
  </si>
  <si>
    <t>Saldo Total crédito sin reestructuras (numero)</t>
  </si>
  <si>
    <t>Credit Total Balance (Number)</t>
  </si>
  <si>
    <t>[i806: CRBALTL]</t>
  </si>
  <si>
    <t>Saldo Total crédito sin reestructuras (Letras)</t>
  </si>
  <si>
    <t>Credit Total Balance (letters)</t>
  </si>
  <si>
    <t>[i807: CRBALQ]</t>
  </si>
  <si>
    <t>Valor de Quita o condonacion negociada (numero)</t>
  </si>
  <si>
    <t>[i808: CRBALQL]</t>
  </si>
  <si>
    <t>Valor de Quita o condonacion negociada (Letras)</t>
  </si>
  <si>
    <t>[i850: UCCBA]</t>
  </si>
  <si>
    <t>Suma de Saldo de los Creditos Unificar</t>
  </si>
  <si>
    <t>Credit Unification Total Balance Amount</t>
  </si>
  <si>
    <t>[i851: UCCN1]</t>
  </si>
  <si>
    <t>Numero de Credito 1 a Unificar</t>
  </si>
  <si>
    <t>Credit Unification Credit 1 number</t>
  </si>
  <si>
    <t>[i852: UCCTN1]</t>
  </si>
  <si>
    <t>Numero de contrato (Referencia) credito 1 Unificar</t>
  </si>
  <si>
    <t>Credit Unification Credit 1 contract number</t>
  </si>
  <si>
    <t>[i853: UCCBD1]</t>
  </si>
  <si>
    <t>Fecha de Calculo de Saldo del Credito 1 a unificar</t>
  </si>
  <si>
    <t>Credit Unification Credit 1 Balance Date</t>
  </si>
  <si>
    <t>[i854: UCCIB1]</t>
  </si>
  <si>
    <t>Valor del Credito 1 a Unificar</t>
  </si>
  <si>
    <t>Credit Unification Credit 1 Amount</t>
  </si>
  <si>
    <t>[i855: UCCBA1]</t>
  </si>
  <si>
    <t>Saldo del Credito 1 a Unificar</t>
  </si>
  <si>
    <t>Credit Unification Credit 1 Balance Amount</t>
  </si>
  <si>
    <t>[i856: UCCCT1]</t>
  </si>
  <si>
    <t>Tipo de Credito 1 a Unificar</t>
  </si>
  <si>
    <t>Credit Unification Credit 1 Type</t>
  </si>
  <si>
    <t>[i857: UCCAF1]</t>
  </si>
  <si>
    <t>Numero de Afiliacion  del Credito 1 a Unificar</t>
  </si>
  <si>
    <t>Credit Unification Credit 1 Afiliation</t>
  </si>
  <si>
    <t>[i858: VIC1LE]</t>
  </si>
  <si>
    <t>Monto letra crédito 1 a unificar</t>
  </si>
  <si>
    <t>Credit Unification Credit 1 Amount Letters</t>
  </si>
  <si>
    <t>[i859: FAPC1U]</t>
  </si>
  <si>
    <t>Monto número crédito 1 a unificar</t>
  </si>
  <si>
    <t>[i860: PC1UNI]</t>
  </si>
  <si>
    <t>Plazo crédito 1 a unificar</t>
  </si>
  <si>
    <t>Credit Unification Credit 1 Term</t>
  </si>
  <si>
    <t>[i861: UCCN2]</t>
  </si>
  <si>
    <t>Numero de Credito 2 a Unificar</t>
  </si>
  <si>
    <t>Credit Unification Credit 2 number</t>
  </si>
  <si>
    <t>[i862: UCCTN2]</t>
  </si>
  <si>
    <t>Numero de contrato (Referencia) credito 2 Unificar</t>
  </si>
  <si>
    <t>Credit Unification Credit 2 contract number</t>
  </si>
  <si>
    <t>[i863: UCCBD2]</t>
  </si>
  <si>
    <t>Fecha de Calculo de Saldo del Credito 2 a unificar</t>
  </si>
  <si>
    <t>Credit Unification Credit 2 Balance Date</t>
  </si>
  <si>
    <t>[i864: UCCIB2]</t>
  </si>
  <si>
    <t>Valor Inicial del Credito 2 a Unificar</t>
  </si>
  <si>
    <t>Credit Unification Credit 2 Initial Amount</t>
  </si>
  <si>
    <t>[i865: UCCBA2]</t>
  </si>
  <si>
    <t>Saldo del Credito 2 a Unificar</t>
  </si>
  <si>
    <t>Credit Unification Credit 2 Balance Amount</t>
  </si>
  <si>
    <t>[i866: UCCCT2]</t>
  </si>
  <si>
    <t>Tipo de Credito 2 a Unificar</t>
  </si>
  <si>
    <t>Credit Unification Credit 2 Type</t>
  </si>
  <si>
    <t>[i867: UCCAF1]</t>
  </si>
  <si>
    <t>Numero de Afiliacion  del Credito 2 a Unificar</t>
  </si>
  <si>
    <t>Credit Unification Credit 2 Afiliation</t>
  </si>
  <si>
    <t>[i868: VIC2LE]</t>
  </si>
  <si>
    <t>Monto letra crédito 2 a unificar</t>
  </si>
  <si>
    <t>Credit Unification Credit 2 Amount Letters</t>
  </si>
  <si>
    <t>[i869: FAPC2U]</t>
  </si>
  <si>
    <t>Monto número crédito 2 a unificar</t>
  </si>
  <si>
    <t>Credit Unification Credit 2 Amount</t>
  </si>
  <si>
    <t>[i870: PC2UNI]</t>
  </si>
  <si>
    <t>Plazo crédito 2 a unificar</t>
  </si>
  <si>
    <t>Credit Unification Credit 2 Term</t>
  </si>
  <si>
    <t>Numero de Credito 3 a Unificar</t>
  </si>
  <si>
    <t>Numero de contrato (Referencia) credito 3 Unificar</t>
  </si>
  <si>
    <t>Fecha de Calculo de Saldo del Credito 3 a unificar</t>
  </si>
  <si>
    <t>Valor Inicial del Credito 3 a Unificar</t>
  </si>
  <si>
    <t>Saldo del Credito 3 a Unificar</t>
  </si>
  <si>
    <t>Tipo de Credito 3 a Unificar</t>
  </si>
  <si>
    <t>Numero de Afiliacion  del Credito 3 a Unificar</t>
  </si>
  <si>
    <t>Monto letra crédito 3 a unificar</t>
  </si>
  <si>
    <t>Monto número crédito 3 a unificar</t>
  </si>
  <si>
    <t>Plazo crédito 3 a unificar</t>
  </si>
  <si>
    <t>Numero de Credito 4 a Unificar</t>
  </si>
  <si>
    <t>Numero de contrato (Referencia) credito 4 Unificar</t>
  </si>
  <si>
    <t>Fecha de Calculo de Saldo del Credito 4 a unificar</t>
  </si>
  <si>
    <t>Valor Inicial del Credito 4 a Unificar</t>
  </si>
  <si>
    <t>Saldo del Credito 4 a Unificar</t>
  </si>
  <si>
    <t>Tipo de Credito 4 a Unificar</t>
  </si>
  <si>
    <t>Numero de Afiliacion  del Credito 4 a Unificar</t>
  </si>
  <si>
    <t>Monto letra crédito 4 a unificar</t>
  </si>
  <si>
    <t>Monto número crédito 4 a unificar</t>
  </si>
  <si>
    <t>Plazo crédito 4 a unificar</t>
  </si>
  <si>
    <t>[i891: UCCBA]</t>
  </si>
  <si>
    <t>[i892: MLCUN]</t>
  </si>
  <si>
    <t>Monto letra total a liquidar de créditos a unificar</t>
  </si>
  <si>
    <t>Credit Unification Liquidate Balance Amount Letters</t>
  </si>
  <si>
    <t>[i893: MLCUL]</t>
  </si>
  <si>
    <t>Monto numero total a liquidar de créditos a unificar</t>
  </si>
  <si>
    <t xml:space="preserve">Credit Unification Liquidate Balance Amount </t>
  </si>
  <si>
    <t>[i894: BLCUN]</t>
  </si>
  <si>
    <t>Saldo Final de créditos pago Deuda</t>
  </si>
  <si>
    <t>Credit Unification debt payment Balance</t>
  </si>
  <si>
    <t>[i901: CLACCNS]</t>
  </si>
  <si>
    <t>Numero de Escritura de Constitucion</t>
  </si>
  <si>
    <t xml:space="preserve">Company Act of Constitution </t>
  </si>
  <si>
    <t>[i902: CLCNSDT]</t>
  </si>
  <si>
    <t>Fecha de Constitucion</t>
  </si>
  <si>
    <t xml:space="preserve">Company Date of Constitution </t>
  </si>
  <si>
    <t>[i903: CLCNSRG]</t>
  </si>
  <si>
    <t>Fecha de Registro</t>
  </si>
  <si>
    <t>Registration Date</t>
  </si>
  <si>
    <t>[i904: CLCNSNT]</t>
  </si>
  <si>
    <t>Numero de Notaria</t>
  </si>
  <si>
    <t>Notary Number</t>
  </si>
  <si>
    <t>[i905: CLCNSTS]</t>
  </si>
  <si>
    <t>Municipio o Ciudad de la Notaria</t>
  </si>
  <si>
    <t>City or Township of the Notaty</t>
  </si>
  <si>
    <t>[i906: CLCNSNTN]</t>
  </si>
  <si>
    <t>Nombre del Notario</t>
  </si>
  <si>
    <t>Name of the Notary</t>
  </si>
  <si>
    <t>[i907: CLCNSRN]</t>
  </si>
  <si>
    <t>Folio Electronico</t>
  </si>
  <si>
    <t>Company Registration Number</t>
  </si>
  <si>
    <t>[i908: CLCNSEA]</t>
  </si>
  <si>
    <t>Capital Social de la Empresa</t>
  </si>
  <si>
    <t>Legal Equity Amount</t>
  </si>
  <si>
    <t>[i909: CLCNSCP]</t>
  </si>
  <si>
    <t>Objeto Social de la Empresa</t>
  </si>
  <si>
    <t>Corporate Purpose</t>
  </si>
  <si>
    <t>[i921: CLGSHNM1]</t>
  </si>
  <si>
    <t>Nombre del Principal accionista</t>
  </si>
  <si>
    <t>Main Shareholder Name</t>
  </si>
  <si>
    <t>[i922: CLGSHTID1]</t>
  </si>
  <si>
    <t>RFC Principal accionista</t>
  </si>
  <si>
    <t>Main Shareholder Treasury ID</t>
  </si>
  <si>
    <t>[i923: CLGSHPRG1]</t>
  </si>
  <si>
    <t>Porcentaje de participacion Principal Accionista</t>
  </si>
  <si>
    <t>Share Percentage of Main Shareholder</t>
  </si>
  <si>
    <t>[i924: CLGSHPST1]</t>
  </si>
  <si>
    <t>Puesto del Principal Accionista</t>
  </si>
  <si>
    <t>Position of the Main Shareholder</t>
  </si>
  <si>
    <t>[i926: CLGSHNM2]</t>
  </si>
  <si>
    <t>Nombre del Segundo accionista</t>
  </si>
  <si>
    <t>Second Shareholder Name</t>
  </si>
  <si>
    <t>[i927: CLGSHTID2]</t>
  </si>
  <si>
    <t>RFC Segundo accionista</t>
  </si>
  <si>
    <t>Second Shareholder Treasury ID</t>
  </si>
  <si>
    <t>[i928: CLGSHPRG2]</t>
  </si>
  <si>
    <t>Porcentaje de participacion Segundo accionista</t>
  </si>
  <si>
    <t>Share Percentage of Second Shareholder</t>
  </si>
  <si>
    <t>[i929: CLGSHPST2]</t>
  </si>
  <si>
    <t>Puesto del Segundo accionista</t>
  </si>
  <si>
    <t>Position of the Second Shareholder</t>
  </si>
  <si>
    <t>[i931: CLGSHNM3]</t>
  </si>
  <si>
    <t>Nombre del Tercer accionista</t>
  </si>
  <si>
    <t>Third Shareholder Name</t>
  </si>
  <si>
    <t>[i932: CLGSHTID3]</t>
  </si>
  <si>
    <t>RFC Tercer accionista</t>
  </si>
  <si>
    <t>Third Shareholder Treasury ID</t>
  </si>
  <si>
    <t>[i933: CLGSHPRG3]</t>
  </si>
  <si>
    <t>Porcentaje de participacion Tercer accionista</t>
  </si>
  <si>
    <t>Share Percentage of Third Shareholder</t>
  </si>
  <si>
    <t>[i934: CLGSHPST3]</t>
  </si>
  <si>
    <t>Puesto del Tercer accionista</t>
  </si>
  <si>
    <t>Position of the Third Shareholder</t>
  </si>
  <si>
    <t>[i936: CLGSHNM4]</t>
  </si>
  <si>
    <t>Nombre del Cuarto accionista</t>
  </si>
  <si>
    <t>Fourth Shareholder Name</t>
  </si>
  <si>
    <t>[i937: CLGSHTID4]</t>
  </si>
  <si>
    <t>RFC Cuarto accionista</t>
  </si>
  <si>
    <t>Fourth Shareholder Treasury ID</t>
  </si>
  <si>
    <t>[i938: CLGSHPRG4]</t>
  </si>
  <si>
    <t>Porcentaje de participacion Cuarto accionista</t>
  </si>
  <si>
    <t>Share Percentage of Fourth Shareholder</t>
  </si>
  <si>
    <t>[i939: CLGSHPST4]</t>
  </si>
  <si>
    <t>Puesto del Cuarto accionista</t>
  </si>
  <si>
    <t>Position of the Fourth Shareholder</t>
  </si>
  <si>
    <t>Nombre del Apoderado Legal 1</t>
  </si>
  <si>
    <t>Legal representant 1 Name</t>
  </si>
  <si>
    <t>RFC del Apoderado Legal 1</t>
  </si>
  <si>
    <t>Legal representant 1 Tax ID</t>
  </si>
  <si>
    <t>Fecha Nacimiento Apoderado Legal 1</t>
  </si>
  <si>
    <t>Legal representant 1 Birth Date</t>
  </si>
  <si>
    <t>Edad del Apoderado Legal 1</t>
  </si>
  <si>
    <t>Legal representant 1 Age</t>
  </si>
  <si>
    <t>Estado Civil Apoderado Legal 1</t>
  </si>
  <si>
    <t>Legal representant 1 Marital Status</t>
  </si>
  <si>
    <t>Nacionalidad del Apoderado Legal 1</t>
  </si>
  <si>
    <t>Legal Representant 1 Nationality</t>
  </si>
  <si>
    <t>Ocupacion del Apoderado Legal 1</t>
  </si>
  <si>
    <t>Legal Representant 1 Ocupation</t>
  </si>
  <si>
    <t>Calle Domicilio del Apoderado Legal 1</t>
  </si>
  <si>
    <t>Legal Representant 1 Street</t>
  </si>
  <si>
    <t>Numero Exterior Domicilio del Apoderado Legal 1</t>
  </si>
  <si>
    <t>Legal Representant 1 Exterior Number</t>
  </si>
  <si>
    <t>Numero Interior Domicilio del Apoderado Legal 1</t>
  </si>
  <si>
    <t>Legal Representant 1 Interior Number</t>
  </si>
  <si>
    <t>Entre Calles Domicilio del Apoderado Legal 1</t>
  </si>
  <si>
    <t>Legal Representant 1 Cossing</t>
  </si>
  <si>
    <t>Colonia Domicilio del Apoderado Legal 1</t>
  </si>
  <si>
    <t>Legal Representant 1 Neighborhood</t>
  </si>
  <si>
    <t>Localidad Domicilio del Apoderado Legal 1</t>
  </si>
  <si>
    <t>Legal Representant 1 TownShip</t>
  </si>
  <si>
    <t>Municipio / Ciudad Domicilio del Apoderado Legal 1</t>
  </si>
  <si>
    <t>Legal Representant 1 City</t>
  </si>
  <si>
    <t>Estado Domicilio del Apoderado Legal 1</t>
  </si>
  <si>
    <t>Legal Representant 1 State</t>
  </si>
  <si>
    <t>Codigo Postal Domicilio del Apoderado Legal 1</t>
  </si>
  <si>
    <t>Legal Representant 1 Zip Code</t>
  </si>
  <si>
    <t>Nombre del Apoderado Legal 2</t>
  </si>
  <si>
    <t>Legal representant 2 Name</t>
  </si>
  <si>
    <t>RFC del Apoderado Legal 2</t>
  </si>
  <si>
    <t>Legal representant 2 Tax ID</t>
  </si>
  <si>
    <t>Fecha Nacimiento Apoderado Legal 2</t>
  </si>
  <si>
    <t>Legal representant 2 Birth Date</t>
  </si>
  <si>
    <t>Edad del Apoderado Legal 2</t>
  </si>
  <si>
    <t>Legal representant 2 Age</t>
  </si>
  <si>
    <t>Estado Civil Apoderado Legal 2</t>
  </si>
  <si>
    <t>Legal representant 2 Marital Status</t>
  </si>
  <si>
    <t>Nacionalidad del Apoderado Legal 2</t>
  </si>
  <si>
    <t>Legal Representant 2 Nationality</t>
  </si>
  <si>
    <t>Ocupacion del Apoderado Legal 2</t>
  </si>
  <si>
    <t>Legal Representant 2 Ocupation</t>
  </si>
  <si>
    <t>Calle Domicilio del Apoderado Legal 2</t>
  </si>
  <si>
    <t>Legal Representant 2 Street</t>
  </si>
  <si>
    <t>Numero Exterior Domicilio del Apoderado Legal 2</t>
  </si>
  <si>
    <t>Legal Representant 2 Exterior Number</t>
  </si>
  <si>
    <t>Numero Interior Domicilio del Apoderado Legal  2</t>
  </si>
  <si>
    <t>Legal Representant 2 Interior Number</t>
  </si>
  <si>
    <t>Entre Calles Domicilio del Apoderado Legal 2</t>
  </si>
  <si>
    <t>Legal Representant 2 Cossing</t>
  </si>
  <si>
    <t>Colonia Domicilio del Apoderado Legal 2</t>
  </si>
  <si>
    <t>Legal Representant 2 Neighborhood</t>
  </si>
  <si>
    <t>Localidad Domicilio del Apoderado Legal 2</t>
  </si>
  <si>
    <t>Legal Representant 2 TownShip</t>
  </si>
  <si>
    <t>Municipio / Ciudad Domicilio del Apoderado Legal 2</t>
  </si>
  <si>
    <t>Legal Representant 2 City</t>
  </si>
  <si>
    <t>Estado Domicilio del Apoderado Legal 2</t>
  </si>
  <si>
    <t>Legal Representant 2 State</t>
  </si>
  <si>
    <t>Codigo Postal Domicilio del Apoderado Legal 2</t>
  </si>
  <si>
    <t>Legal Representant 2 Zip Code</t>
  </si>
  <si>
    <t>Nombre del Apoderado Legal 3</t>
  </si>
  <si>
    <t>Legal representant 3 Name</t>
  </si>
  <si>
    <t>RFC del Apoderado Legal 3</t>
  </si>
  <si>
    <t>Legal representant 3 Tax ID</t>
  </si>
  <si>
    <t>Fecha Nacimiento Apoderado Legal 3</t>
  </si>
  <si>
    <t>Legal representant 3 Birth Date</t>
  </si>
  <si>
    <t>Edad del Apoderado Legal 3</t>
  </si>
  <si>
    <t>Legal representant 3 Age</t>
  </si>
  <si>
    <t>Estado Civil Apoderado Legal 3</t>
  </si>
  <si>
    <t>Legal representant 3 Marital Status</t>
  </si>
  <si>
    <t>Nacionalidad del Apoderado Legal 3</t>
  </si>
  <si>
    <t>Legal Representant 3 Nationality</t>
  </si>
  <si>
    <t>Ocupacion del Apoderado Legal 3</t>
  </si>
  <si>
    <t>Legal Representant 3 Ocupation</t>
  </si>
  <si>
    <t>Calle Domicilio del Apoderado Legal 3</t>
  </si>
  <si>
    <t>Legal Representant 3 Street</t>
  </si>
  <si>
    <t>Numero Exterior Domicilio del Apoderado Legal 3</t>
  </si>
  <si>
    <t>Legal Representant 3 Exterior Number</t>
  </si>
  <si>
    <t>Numero Interior Domicilio del Apoderado Legal  3</t>
  </si>
  <si>
    <t>Legal Representant 3 Interior Number</t>
  </si>
  <si>
    <t>Entre Calles Domicilio del Apoderado Legal 3</t>
  </si>
  <si>
    <t>Legal Representant 3 Cossing</t>
  </si>
  <si>
    <t>Colonia Domicilio del Apoderado Legal 3</t>
  </si>
  <si>
    <t>Legal Representant 3 Neighborhood</t>
  </si>
  <si>
    <t>Localidad Domicilio del Apoderado Legal 3</t>
  </si>
  <si>
    <t>Legal Representant 3 TownShip</t>
  </si>
  <si>
    <t>Municipio / Ciudad Domicilio del Apoderado Legal 3</t>
  </si>
  <si>
    <t>Legal Representant 3 City</t>
  </si>
  <si>
    <t>Estado Domicilio del Apoderado Legal 3</t>
  </si>
  <si>
    <t>Legal Representant 3 State</t>
  </si>
  <si>
    <t>Codigo Postal Domicilio del Apoderado Legal 3</t>
  </si>
  <si>
    <t>Legal Representant 3 Zip Code</t>
  </si>
  <si>
    <t>[i1001: APPYN]</t>
  </si>
  <si>
    <t>[i1002: APDEP]</t>
  </si>
  <si>
    <t>[i1003: APPRF]</t>
  </si>
  <si>
    <t>[i1004: APEMPN]</t>
  </si>
  <si>
    <t>[i1101: ACTECO]</t>
  </si>
  <si>
    <t>Actividad Económica</t>
  </si>
  <si>
    <t>Economic Activity</t>
  </si>
  <si>
    <t>[i1102: ACTECOD]</t>
  </si>
  <si>
    <t>Descripcion Actividad Económica</t>
  </si>
  <si>
    <t>[i1103: PEP]</t>
  </si>
  <si>
    <t>Acreditado es persona PEP</t>
  </si>
  <si>
    <t>[i1104: ORRECPA]</t>
  </si>
  <si>
    <t>Origen del recurso del ultimo pago (APH)</t>
  </si>
  <si>
    <t>[i1181: PRCT1NMNB1]</t>
  </si>
  <si>
    <t>Nombre de la 1a. Referencia Comercial Tipo 1</t>
  </si>
  <si>
    <t>Name of 1st. Commercial Reference Type 1</t>
  </si>
  <si>
    <t>[i1182: PRCT1ACC1]</t>
  </si>
  <si>
    <t>Cuenta/ref. de la 1a. Referencia Comercial Tipo 1</t>
  </si>
  <si>
    <t>Account Number of 1st. Commercial Reference Type 1</t>
  </si>
  <si>
    <t>[i1183: PRCT1AMN1]</t>
  </si>
  <si>
    <t>Monto de la 1a. Referencia Comercial Tipo 1</t>
  </si>
  <si>
    <t>Amount of 1st. Commercial Reference Type 1</t>
  </si>
  <si>
    <t>[i1184: PRCT1BNC1]</t>
  </si>
  <si>
    <t>Saldo de la 1a. Referencia Comercial Tipo 1</t>
  </si>
  <si>
    <t>Balance of 1st. Commercial Reference Type 1</t>
  </si>
  <si>
    <t>[i1185: PRCT1PHN1]</t>
  </si>
  <si>
    <t>Telefono  1a. Referencia Comercial Tipo 1</t>
  </si>
  <si>
    <t>Phone Number of 1st. Commercial Reference Type 1</t>
  </si>
  <si>
    <t>[i1186: PRCT1CNT1]</t>
  </si>
  <si>
    <t>Nombre Contacto 1a. Referencia Comercial Tipo 1</t>
  </si>
  <si>
    <t>Contact of 1st. Commercial Reference Type 1</t>
  </si>
  <si>
    <t>[i1187: PRCT1CCH1]</t>
  </si>
  <si>
    <t>Cargo Contacto  1a. Referencia Comercial Tipo 1</t>
  </si>
  <si>
    <t>Conctact Position of 1st. Commercial Reference Type 1</t>
  </si>
  <si>
    <t>[i1191: PRCT1NMNB2]</t>
  </si>
  <si>
    <t>Nombre de la 2a. Referencia Comercial Tipo 1</t>
  </si>
  <si>
    <t>Name of 2nd. Commercial Reference Type 1</t>
  </si>
  <si>
    <t>[i1192: PRCT1ACC2]</t>
  </si>
  <si>
    <t>Cuenta/ref. de la 2a. Referencia Comercial Tipo 1</t>
  </si>
  <si>
    <t>Account Number of 2nd. Commercial Reference Type 1</t>
  </si>
  <si>
    <t>[i1193: PRCT1AMN2]</t>
  </si>
  <si>
    <t>Monto de la 2a. Referencia Comercial Tipo 1</t>
  </si>
  <si>
    <t>Amount of 2nd. Commercial Reference Type 1</t>
  </si>
  <si>
    <t>[i1194: PRCT1BNC2]</t>
  </si>
  <si>
    <t>Saldo de la 2a. Referencia Comercial Tipo 1</t>
  </si>
  <si>
    <t>Balance of 2nd. Commercial Reference Type 1</t>
  </si>
  <si>
    <t>[i1195: PRCT1PHN2]</t>
  </si>
  <si>
    <t>Telefono  2a. Referencia Comercial Tipo 1</t>
  </si>
  <si>
    <t>Phone Number of 2nd. Commercial Reference Type 1</t>
  </si>
  <si>
    <t>[i1196: PRCT1CNT2]</t>
  </si>
  <si>
    <t>Nombre Contacto 2a. Referencia Comercial Tipo 1</t>
  </si>
  <si>
    <t>Contact of 2nd. Commercial Reference Type 1</t>
  </si>
  <si>
    <t>[i1197: PRCT1CCH2]</t>
  </si>
  <si>
    <t>Cargo Contacto  2a. Referencia Comercial Tipo 1</t>
  </si>
  <si>
    <t>Conctact Position of 2nd. Commercial Reference Type 1</t>
  </si>
  <si>
    <t>[i1201: PRCT1NMNB3]</t>
  </si>
  <si>
    <t>Nombre de la 3a. Referencia Comercial Tipo 1</t>
  </si>
  <si>
    <t>Name of 3rd. Commercial Reference Type 1</t>
  </si>
  <si>
    <t>[i1202: PRCT1ACC3]</t>
  </si>
  <si>
    <t>Cuenta/ref. de la 3a. Referencia Comercial Tipo 1</t>
  </si>
  <si>
    <t>Account Number of 3rd. Commercial Reference Type 1</t>
  </si>
  <si>
    <t>[i1203: PRCT1AMN3]</t>
  </si>
  <si>
    <t>Monto de la 3a. Referencia Comercial Tipo 1</t>
  </si>
  <si>
    <t>Amount of 3rd. Commercial Reference Type 1</t>
  </si>
  <si>
    <t>[i1204: PRCT1BNC3]</t>
  </si>
  <si>
    <t>Saldo de la 3a. Referencia Comercial Tipo 1</t>
  </si>
  <si>
    <t>Balance of 3rd. Commercial Reference Type 1</t>
  </si>
  <si>
    <t>[i1205: PRCT1PHN3]</t>
  </si>
  <si>
    <t>Telefono  3a. Referencia Comercial Tipo 1</t>
  </si>
  <si>
    <t>Phone Number of 3rd. Commercial Reference Type 1</t>
  </si>
  <si>
    <t>[i1206: PRCT1CNT3]</t>
  </si>
  <si>
    <t>Nombre Contacto 3a. Referencia Comercial Tipo 1</t>
  </si>
  <si>
    <t>Contact of 3rd. Commercial Reference Type 1</t>
  </si>
  <si>
    <t>[i1207: PRCT1CCH3]</t>
  </si>
  <si>
    <t>Cargo Contacto  3a. Referencia Comercial Tipo 1</t>
  </si>
  <si>
    <t>Conctact Position of 3rd. Commercial Reference Type 1</t>
  </si>
  <si>
    <t>[i1211: PRCT1NMNB4]</t>
  </si>
  <si>
    <t>Nombre de la 4a. Referencia Comercial Tipo 1</t>
  </si>
  <si>
    <t>Name of 4th. Commercial Reference Type 1</t>
  </si>
  <si>
    <t>[i1212: PRCT1ACC4]</t>
  </si>
  <si>
    <t>Cuenta/ref. de la 4a. Referencia Comercial Tipo 1</t>
  </si>
  <si>
    <t>Account Number of 4th. Commercial Reference Type 1</t>
  </si>
  <si>
    <t>[i1213: PRCT1AMN4]</t>
  </si>
  <si>
    <t>Monto de la 4a. Referencia Comercial Tipo 1</t>
  </si>
  <si>
    <t>Amount of 4th. Commercial Reference Type 1</t>
  </si>
  <si>
    <t>[i1214: PRCT1BNC4]</t>
  </si>
  <si>
    <t>Saldo de la 4a. Referencia Comercial Tipo 1</t>
  </si>
  <si>
    <t>Balance of 4th. Commercial Reference Type 1</t>
  </si>
  <si>
    <t>[i1215: PRCT1PHN4]</t>
  </si>
  <si>
    <t>Telefono  4a. Referencia Comercial Tipo 1</t>
  </si>
  <si>
    <t>Phone Number of 4th. Commercial Reference Type 1</t>
  </si>
  <si>
    <t>[i1216: PRCT1CNT4]</t>
  </si>
  <si>
    <t>Nombre Contacto 4a. Referencia Comercial Tipo 1</t>
  </si>
  <si>
    <t>Contact of 4th. Commercial Reference Type 1</t>
  </si>
  <si>
    <t>[i1217: PRCT1CCH4]</t>
  </si>
  <si>
    <t>Cargo Contacto  4a. Referencia Comercial Tipo 1</t>
  </si>
  <si>
    <t>Conctact Position of 4th. Commercial Reference Type 1</t>
  </si>
  <si>
    <t>[i1221: PRCT2NMNB1]</t>
  </si>
  <si>
    <t>Nombre de la 1a. Referencia Comercial Tipo 2</t>
  </si>
  <si>
    <t>Name of 1st. Commercial Reference Type 2</t>
  </si>
  <si>
    <t>[i1222: PRCT2ACC1]</t>
  </si>
  <si>
    <t>Cuenta/ref. de la 1a. Referencia Comercial Tipo 2</t>
  </si>
  <si>
    <t>Account Number of 1st. Commercial Reference Type 2</t>
  </si>
  <si>
    <t>[i1223: PRCT2AMN1]</t>
  </si>
  <si>
    <t>Monto de la 1a. Referencia Comercial Tipo 2</t>
  </si>
  <si>
    <t>Amount of 1st. Commercial Reference Type 2</t>
  </si>
  <si>
    <t>[i1224: PRCT2BNC1]</t>
  </si>
  <si>
    <t>Saldo de la 1a. Referencia Comercial Tipo 2</t>
  </si>
  <si>
    <t>Balance of 1st. Commercial Reference Type 2</t>
  </si>
  <si>
    <t>[i1225: PRCT2PHN1]</t>
  </si>
  <si>
    <t>Telefono  1a. Referencia Comercial Tipo 2</t>
  </si>
  <si>
    <t>Phone Number of 1st. Commercial Reference Type 2</t>
  </si>
  <si>
    <t>[i1226: PRCT2CNT1]</t>
  </si>
  <si>
    <t>Nombre Contacto 1a. Referencia Comercial Tipo 2</t>
  </si>
  <si>
    <t>Contact of 1st. Commercial Reference Type 2</t>
  </si>
  <si>
    <t>[i1227: PRCT2CCH1]</t>
  </si>
  <si>
    <t>Cargo Contacto  1a. Referencia Comercial Tipo 2</t>
  </si>
  <si>
    <t>Conctact Position of 1st. Commercial Reference Type 2</t>
  </si>
  <si>
    <t>[i1231: PRCT2NMNB2]</t>
  </si>
  <si>
    <t>Nombre de la 2a. Referencia Comercial Tipo 2</t>
  </si>
  <si>
    <t>Name of 2nd. Commercial Reference Type 2</t>
  </si>
  <si>
    <t>[i1232: PRCT2ACC2]</t>
  </si>
  <si>
    <t>Cuenta/ref. de la 2a. Referencia Comercial Tipo 2</t>
  </si>
  <si>
    <t>Account Number of 2nd. Commercial Reference Type 2</t>
  </si>
  <si>
    <t>[i1233: PRCT2AMN2]</t>
  </si>
  <si>
    <t>Monto de la 2a. Referencia Comercial Tipo 2</t>
  </si>
  <si>
    <t>Amount of 2nd. Commercial Reference Type 2</t>
  </si>
  <si>
    <t>[i1234: PRCT2BNC2]</t>
  </si>
  <si>
    <t>Saldo de la 2a. Referencia Comercial Tipo 2</t>
  </si>
  <si>
    <t>Balance of 2nd. Commercial Reference Type 2</t>
  </si>
  <si>
    <t>[i1235: PRCT2PHN2]</t>
  </si>
  <si>
    <t>Telefono  2a. Referencia Comercial Tipo 2</t>
  </si>
  <si>
    <t>Phone Number of 2nd. Commercial Reference Type 2</t>
  </si>
  <si>
    <t>[i1236: PRCT2CNT2]</t>
  </si>
  <si>
    <t>Nombre Contacto 2a. Referencia Comercial Tipo 2</t>
  </si>
  <si>
    <t>Contact of 2nd. Commercial Reference Type 2</t>
  </si>
  <si>
    <t>[i1237: PRCT2CCH2]</t>
  </si>
  <si>
    <t>Cargo Contacto  2a. Referencia Comercial Tipo 2</t>
  </si>
  <si>
    <t>Conctact Position of 2nd. Commercial Reference Type 2</t>
  </si>
  <si>
    <t>[i1241: PRCT2NMNB3]</t>
  </si>
  <si>
    <t>Nombre de la 3a. Referencia Comercial Tipo 2</t>
  </si>
  <si>
    <t>Name of 3rd. Commercial Reference Type 2</t>
  </si>
  <si>
    <t>[i1242: PRCT2ACC3]</t>
  </si>
  <si>
    <t>Cuenta/ref. de la 3a. Referencia Comercial Tipo 2</t>
  </si>
  <si>
    <t>Account Number of 3rd. Commercial Reference Type 2</t>
  </si>
  <si>
    <t>[i1243: PRCT2AMN3]</t>
  </si>
  <si>
    <t>Monto de la 3a. Referencia Comercial Tipo 2</t>
  </si>
  <si>
    <t>Amount of 3rd. Commercial Reference Type 2</t>
  </si>
  <si>
    <t>[i1244: PRCT2BNC3]</t>
  </si>
  <si>
    <t>Saldo de la 3a. Referencia Comercial Tipo 2</t>
  </si>
  <si>
    <t>Balance of 3rd. Commercial Reference Type 2</t>
  </si>
  <si>
    <t>[i1245: PRCT2PHN3]</t>
  </si>
  <si>
    <t>Telefono  3a. Referencia Comercial Tipo 2</t>
  </si>
  <si>
    <t>Phone Number of 3rd. Commercial Reference Type 2</t>
  </si>
  <si>
    <t>[i1246: PRCT2CNT3]</t>
  </si>
  <si>
    <t>Nombre Contacto 3a. Referencia Comercial Tipo 2</t>
  </si>
  <si>
    <t>Contact of 3rd. Commercial Reference Type 2</t>
  </si>
  <si>
    <t>[i1247: PRCT2CCH3]</t>
  </si>
  <si>
    <t>Cargo Contacto  3a. Referencia Comercial Tipo 2</t>
  </si>
  <si>
    <t>Conctact Position of 3rd. Commercial Reference Type 2</t>
  </si>
  <si>
    <t>[i1251: PRCT2NMNB4]</t>
  </si>
  <si>
    <t>Nombre de la 4a. Referencia Comercial Tipo 2</t>
  </si>
  <si>
    <t>Name of 4th. Commercial Reference Type 2</t>
  </si>
  <si>
    <t>[i1252: PRCT2ACC4]</t>
  </si>
  <si>
    <t>Cuenta/ref. de la 4a. Referencia Comercial Tipo 2</t>
  </si>
  <si>
    <t>Account Number of 4th. Commercial Reference Type 2</t>
  </si>
  <si>
    <t>[i1253: PRCT2AMN4]</t>
  </si>
  <si>
    <t>Monto de la 4a. Referencia Comercial Tipo 2</t>
  </si>
  <si>
    <t>Amount of 4th. Commercial Reference Type 2</t>
  </si>
  <si>
    <t>[i1254: PRCT2BNC4]</t>
  </si>
  <si>
    <t>Saldo de la 4a. Referencia Comercial Tipo 2</t>
  </si>
  <si>
    <t>Balance of 4th. Commercial Reference Type 2</t>
  </si>
  <si>
    <t>[i1255: PRCT2PHN4]</t>
  </si>
  <si>
    <t>Telefono  4a. Referencia Comercial Tipo 2</t>
  </si>
  <si>
    <t>Phone Number of 4th. Commercial Reference Type 2</t>
  </si>
  <si>
    <t>[i1256: PRCT2CNT4]</t>
  </si>
  <si>
    <t>Nombre Contacto 4a. Referencia Comercial Tipo 2</t>
  </si>
  <si>
    <t>Contact of 4th. Commercial Reference Type 2</t>
  </si>
  <si>
    <t>[i1257: PRCT2CCH4]</t>
  </si>
  <si>
    <t>Cargo Contacto  4a. Referencia Comercial Tipo 2</t>
  </si>
  <si>
    <t>Conctact Position of 4th. Commercial Reference Type 2</t>
  </si>
  <si>
    <t>[i1261: PRCT3NMNB1]</t>
  </si>
  <si>
    <t>Nombre de la 1a. Referencia Comercial Tipo 3</t>
  </si>
  <si>
    <t>Name of 1st. Commercial Reference Type 3</t>
  </si>
  <si>
    <t>[i1262: PRCT3ACC1]</t>
  </si>
  <si>
    <t>Cuenta/ref. de la 1a. Referencia Comercial Tipo 3</t>
  </si>
  <si>
    <t>Account Number of 1st. Commercial Reference Type 3</t>
  </si>
  <si>
    <t>[i1263: PRCT3AMN1]</t>
  </si>
  <si>
    <t>Monto de la 1a. Referencia Comercial Tipo 3</t>
  </si>
  <si>
    <t>Amount of 1st. Commercial Reference Type 3</t>
  </si>
  <si>
    <t>[i1264: PRCT3BNC1]</t>
  </si>
  <si>
    <t>Saldo de la 1a. Referencia Comercial Tipo 3</t>
  </si>
  <si>
    <t>Balance of 1st. Commercial Reference Type 3</t>
  </si>
  <si>
    <t>[i1265: PRCT3PHN1]</t>
  </si>
  <si>
    <t>Telefono  1a. Referencia Comercial Tipo 3</t>
  </si>
  <si>
    <t>Phone Number of 1st. Commercial Reference Type 3</t>
  </si>
  <si>
    <t>[i1266: PRCT3CNT1]</t>
  </si>
  <si>
    <t>Nombre Contacto 1a. Referencia Comercial Tipo 3</t>
  </si>
  <si>
    <t>Contact of 1st. Commercial Reference Type 3</t>
  </si>
  <si>
    <t>[i1267: PRCT3CCH1]</t>
  </si>
  <si>
    <t>Cargo Contacto  1a. Referencia Comercial Tipo 3</t>
  </si>
  <si>
    <t>Conctact Position of 1st. Commercial Reference Type 3</t>
  </si>
  <si>
    <t>[i1271: PRCT3NMNB2]</t>
  </si>
  <si>
    <t>Nombre de la 2a. Referencia Comercial Tipo 3</t>
  </si>
  <si>
    <t>Name of 2nd. Commercial Reference Type 3</t>
  </si>
  <si>
    <t>[i1272: PRCT3ACC2]</t>
  </si>
  <si>
    <t>Cuenta/ref. de la 2a. Referencia Comercial Tipo 3</t>
  </si>
  <si>
    <t>Account Number of 2nd. Commercial Reference Type 3</t>
  </si>
  <si>
    <t>[i1273: PRCT3AMN2]</t>
  </si>
  <si>
    <t>Monto de la 2a. Referencia Comercial Tipo 3</t>
  </si>
  <si>
    <t>Amount of 2nd. Commercial Reference Type 3</t>
  </si>
  <si>
    <t>[i1274: PRCT3BNC2]</t>
  </si>
  <si>
    <t>Saldo de la 2a. Referencia Comercial Tipo 3</t>
  </si>
  <si>
    <t>Balance of 2nd. Commercial Reference Type 3</t>
  </si>
  <si>
    <t>[i1275: PRCT3PHN2]</t>
  </si>
  <si>
    <t>Telefono  2a. Referencia Comercial Tipo 3</t>
  </si>
  <si>
    <t>Phone Number of 2nd. Commercial Reference Type 3</t>
  </si>
  <si>
    <t>[i1276: PRCT3CNT2]</t>
  </si>
  <si>
    <t>Nombre Contacto 2a. Referencia Comercial Tipo 3</t>
  </si>
  <si>
    <t>Contact of 2nd. Commercial Reference Type 3</t>
  </si>
  <si>
    <t>[i1277: PRCT3CCH2]</t>
  </si>
  <si>
    <t>Cargo Contacto  2a. Referencia Comercial Tipo 3</t>
  </si>
  <si>
    <t>Conctact Position of 2nd. Commercial Reference Type 3</t>
  </si>
  <si>
    <t>[i1281: PRCT3NMNB3]</t>
  </si>
  <si>
    <t>Nombre de la 3a. Referencia Comercial Tipo 3</t>
  </si>
  <si>
    <t>Name of 3rd. Commercial Reference Type 3</t>
  </si>
  <si>
    <t>[i1282: PRCT3ACC3]</t>
  </si>
  <si>
    <t>Cuenta/ref. de la 3a. Referencia Comercial Tipo 3</t>
  </si>
  <si>
    <t>Account Number of 3rd. Commercial Reference Type 3</t>
  </si>
  <si>
    <t>[i1283: PRCT3AMN3]</t>
  </si>
  <si>
    <t>Monto de la 3a. Referencia Comercial Tipo 3</t>
  </si>
  <si>
    <t>Amount of 3rd. Commercial Reference Type 3</t>
  </si>
  <si>
    <t>[i1284: PRCT3BNC3]</t>
  </si>
  <si>
    <t>Saldo de la 3a. Referencia Comercial Tipo 3</t>
  </si>
  <si>
    <t>Balance of 3rd. Commercial Reference Type 3</t>
  </si>
  <si>
    <t>[i1285: PRCT3PHN3]</t>
  </si>
  <si>
    <t>Telefono  3a. Referencia Comercial Tipo 3</t>
  </si>
  <si>
    <t>Phone Number of 3rd. Commercial Reference Type 3</t>
  </si>
  <si>
    <t>[i1286: PRCT3CNT3]</t>
  </si>
  <si>
    <t>Nombre Contacto 3a. Referencia Comercial Tipo 3</t>
  </si>
  <si>
    <t>Contact of 3rd. Commercial Reference Type 3</t>
  </si>
  <si>
    <t>[i1287: PRCT3CCH3]</t>
  </si>
  <si>
    <t>Cargo Contacto  3a. Referencia Comercial Tipo 3</t>
  </si>
  <si>
    <t>Conctact Position of 3rd. Commercial Reference Type 3</t>
  </si>
  <si>
    <t>[i1291: PRCT3NMNB4]</t>
  </si>
  <si>
    <t>Nombre de la 4a. Referencia Comercial Tipo 3</t>
  </si>
  <si>
    <t>Name of 4th. Commercial Reference Type 3</t>
  </si>
  <si>
    <t>[i1292: PRCT3ACC4]</t>
  </si>
  <si>
    <t>Cuenta/ref. de la 4a. Referencia Comercial Tipo 3</t>
  </si>
  <si>
    <t>Account Number of 4th. Commercial Reference Type 3</t>
  </si>
  <si>
    <t>[i1293: PRCT3AMN4]</t>
  </si>
  <si>
    <t>Monto de la 4a. Referencia Comercial Tipo 3</t>
  </si>
  <si>
    <t>Amount of 4th. Commercial Reference Type 3</t>
  </si>
  <si>
    <t>[i1294: PRCT3BNC4]</t>
  </si>
  <si>
    <t>Saldo de la 4a. Referencia Comercial Tipo 3</t>
  </si>
  <si>
    <t>Balance of 4th. Commercial Reference Type 3</t>
  </si>
  <si>
    <t>[i1295: PRCT3PHN4]</t>
  </si>
  <si>
    <t>Telefono  4a. Referencia Comercial Tipo 3</t>
  </si>
  <si>
    <t>Phone Number of 4th. Commercial Reference Type 3</t>
  </si>
  <si>
    <t>[i1296: PRCT3CNT4]</t>
  </si>
  <si>
    <t>Nombre Contacto 4a. Referencia Comercial Tipo 3</t>
  </si>
  <si>
    <t>Contact of 4th. Commercial Reference Type 3</t>
  </si>
  <si>
    <t>[i1297: PRCT3CCH4]</t>
  </si>
  <si>
    <t>Cargo Contacto  4a. Referencia Comercial Tipo 3</t>
  </si>
  <si>
    <t>Conctact Position of 4th. Commercial Reference Type 3</t>
  </si>
  <si>
    <t>[i1301: APASL]</t>
  </si>
  <si>
    <t>Valor del Activo o Garantia Natural</t>
  </si>
  <si>
    <t>Natural Guarantee Price</t>
  </si>
  <si>
    <t>[i1302: APASLWT]</t>
  </si>
  <si>
    <t>Valor del Activo o Garantia Natural Sin IVA</t>
  </si>
  <si>
    <t>Natural Guarantee Price without VAT</t>
  </si>
  <si>
    <t>[i1303: APASLT]</t>
  </si>
  <si>
    <t>IVA del Valor del Activo o Garantia Natural</t>
  </si>
  <si>
    <t>Natural Guarantee Price VAT</t>
  </si>
  <si>
    <t>[i1304: APGNCND]</t>
  </si>
  <si>
    <t>Garantia Natural (Condicion)</t>
  </si>
  <si>
    <t>Natural Guarantee Product Condition</t>
  </si>
  <si>
    <t>[i1305: APGNCNDD]</t>
  </si>
  <si>
    <t>Etiqueta Garantia Natural (Condicion)</t>
  </si>
  <si>
    <t>Natural Guarantee Product Condition Label</t>
  </si>
  <si>
    <t>[i1306: APESPEQ]</t>
  </si>
  <si>
    <t>Especificaciones del Equipo</t>
  </si>
  <si>
    <t>Equipment Specification</t>
  </si>
  <si>
    <t>[i1307: APCPPG]</t>
  </si>
  <si>
    <t>Capacidad de Pago Solicitud</t>
  </si>
  <si>
    <t>App Payment Capacity</t>
  </si>
  <si>
    <t>[i1308: APINSTY]</t>
  </si>
  <si>
    <t>Forma de Pago del Seguro del Bien</t>
  </si>
  <si>
    <t>Asset Insurance Payment Form</t>
  </si>
  <si>
    <t>[i1309: APINSTYL]</t>
  </si>
  <si>
    <t>Etiqueta de Forma de Pago del Seguro del Bien</t>
  </si>
  <si>
    <t>Asset Insurance Payment Form Label</t>
  </si>
  <si>
    <t>[i1310: APGNMD]</t>
  </si>
  <si>
    <t>Modelo de Producto de la Garantia Natural</t>
  </si>
  <si>
    <t>Natural Guarantee Product Model</t>
  </si>
  <si>
    <t>[i1311: APGNBRD]</t>
  </si>
  <si>
    <t>Marca de la Garantia Natural</t>
  </si>
  <si>
    <t>Natural Guarantee Product Brand</t>
  </si>
  <si>
    <t>[i1312: APGNTPR]</t>
  </si>
  <si>
    <t>Grupo de Producto de la Garantia Natural</t>
  </si>
  <si>
    <t>Natural Guarantee Product Group</t>
  </si>
  <si>
    <t>[i1313: APGNDS]</t>
  </si>
  <si>
    <t>Descripcion Producto de la Garantia Natural</t>
  </si>
  <si>
    <t>Natural Guarantee Product Description</t>
  </si>
  <si>
    <t>[i1314: APGNMDY]</t>
  </si>
  <si>
    <t>Año Modelo de Producto de la Garantia Natural</t>
  </si>
  <si>
    <t>Natural Guarantee Product Year Model</t>
  </si>
  <si>
    <t>[i1315: APGNSRN]</t>
  </si>
  <si>
    <t>Numero Serie Producto de la Garantia Natural</t>
  </si>
  <si>
    <t>Natural Guarantee Product serial Number</t>
  </si>
  <si>
    <t>[i1316: APGNMTN]</t>
  </si>
  <si>
    <t>Numero Motor Producto de la Garantia Natural</t>
  </si>
  <si>
    <t>Natural Guarantee Product Motor Number</t>
  </si>
  <si>
    <t>[i1317: APGNLC]</t>
  </si>
  <si>
    <t>Placas o Licencia Producto de la Garantia Natural</t>
  </si>
  <si>
    <t>Natural Guarantee Product License</t>
  </si>
  <si>
    <t>[i1318: APGNEXC]</t>
  </si>
  <si>
    <t>Color Exterior Producto de la Garantia Natural</t>
  </si>
  <si>
    <t>Natural Guarantee Product Exterior Color</t>
  </si>
  <si>
    <t>[i1319: APGNINC]</t>
  </si>
  <si>
    <t>Color Interior Producto de la Garantia Natural</t>
  </si>
  <si>
    <t>Natural Guarantee Product Interior Color</t>
  </si>
  <si>
    <t>[i1320: APGNAUD]</t>
  </si>
  <si>
    <t>Kilometraje Autorizado Producto Garantia Natural</t>
  </si>
  <si>
    <t>Natural Guarantee Product Distance Authorized</t>
  </si>
  <si>
    <t>[i1321: APGNDFR]</t>
  </si>
  <si>
    <t>Frecuencia Distancia Producto Garantia Natural</t>
  </si>
  <si>
    <t>Natural Guarantee Product Frequency Distance</t>
  </si>
  <si>
    <t>[i1350: APCRTY]</t>
  </si>
  <si>
    <t>Tipo de Credito</t>
  </si>
  <si>
    <t>App Credit Type</t>
  </si>
  <si>
    <t>[i1351: APCRTYL]</t>
  </si>
  <si>
    <t>Etiqueta de Tipo de Credito</t>
  </si>
  <si>
    <t>App Credit Type Label</t>
  </si>
  <si>
    <t>[i1351: APDEL]</t>
  </si>
  <si>
    <t>Delegacion</t>
  </si>
  <si>
    <t>[i1353: TIPOFIN]</t>
  </si>
  <si>
    <t>Clave Tipo de Financiamiento</t>
  </si>
  <si>
    <t>Financing Type ID</t>
  </si>
  <si>
    <t>[1354: DTIPOFIN]</t>
  </si>
  <si>
    <t>Descripcion Tipo de Financiamiento</t>
  </si>
  <si>
    <t>Financing Type Description</t>
  </si>
  <si>
    <t>[i1355: CICLOS]</t>
  </si>
  <si>
    <t>Número de Créditos de la Persona (Historial - Ciclos)</t>
  </si>
  <si>
    <t>Number of person's previous credits</t>
  </si>
  <si>
    <t>[i1357: PBDT]</t>
  </si>
  <si>
    <t>Fecha de Nacimiento de la Persona en Letras</t>
  </si>
  <si>
    <t>Person Birth Date Letters</t>
  </si>
  <si>
    <t>[i358: PACCN]</t>
  </si>
  <si>
    <t>Numero de cuenta Bancaria (CLABE interna) para usarse con STP en Yo Te Presto</t>
  </si>
  <si>
    <t>Person Internal Account Number</t>
  </si>
  <si>
    <t>[i1401: APNPY]</t>
  </si>
  <si>
    <t>Valor de la Renta Normal del Contrato</t>
  </si>
  <si>
    <t>Total Payment Amount</t>
  </si>
  <si>
    <t>[i1402: APNPYWT]</t>
  </si>
  <si>
    <t>Valor de la Renta Sin IVA</t>
  </si>
  <si>
    <t>Total Payment Amount Without Tax</t>
  </si>
  <si>
    <t>[i1403: APNPYT]</t>
  </si>
  <si>
    <t>IVA de la Renta</t>
  </si>
  <si>
    <t>Tax of Total Payment Amount</t>
  </si>
  <si>
    <t>[i1404: APFPY]</t>
  </si>
  <si>
    <t>Valor de la Primera Renta del Contrato</t>
  </si>
  <si>
    <t>Total First Payment Amount</t>
  </si>
  <si>
    <t>[i1405: APFPYWT]</t>
  </si>
  <si>
    <t>Valor de la Primera Renta Sin IVA</t>
  </si>
  <si>
    <t>Total First Payment Amount Without Tax</t>
  </si>
  <si>
    <t>[i1406: APFPYT]</t>
  </si>
  <si>
    <t>IVA de la Primera Renta</t>
  </si>
  <si>
    <t>Tax of Total First Payment Amount</t>
  </si>
  <si>
    <t>[i1407: APCMS]</t>
  </si>
  <si>
    <t>Importe de Comision de Apertura</t>
  </si>
  <si>
    <t>Total Openning Commission Amount</t>
  </si>
  <si>
    <t>[i1408: APCMSWT]</t>
  </si>
  <si>
    <t>Importe de Comision de Apertura sin IVA</t>
  </si>
  <si>
    <t>Total Openning Commission Amount Without Tax</t>
  </si>
  <si>
    <t>[i1409: APCMST]</t>
  </si>
  <si>
    <t>IVA de la Comision de Apertura</t>
  </si>
  <si>
    <t>Tax of Total Openning Commission</t>
  </si>
  <si>
    <t>[i1410: APDPY]</t>
  </si>
  <si>
    <t>Valor de la Renta en Deposito</t>
  </si>
  <si>
    <t>Total Deposit Payment Amount</t>
  </si>
  <si>
    <t>[i1411: APDPYWT]</t>
  </si>
  <si>
    <t>Valor de la Renta en Deposito Sin IVA</t>
  </si>
  <si>
    <t>Total Deposit Payment Amount Without Tax</t>
  </si>
  <si>
    <t>[i1412: APDPYT]</t>
  </si>
  <si>
    <t>IVA de la Renta en Deposito</t>
  </si>
  <si>
    <t>Tax of Total Deposit Payment</t>
  </si>
  <si>
    <t>[i1413: APINSA]</t>
  </si>
  <si>
    <t>Valor del Seguro del Bien</t>
  </si>
  <si>
    <t>Asset Insurance Amount</t>
  </si>
  <si>
    <t>[i1414: APINSWT]</t>
  </si>
  <si>
    <t>Valor del Seguro del Bien Sin IVA</t>
  </si>
  <si>
    <t>Asset Insurance Amount Without Tax</t>
  </si>
  <si>
    <t>[i1415: APINST]</t>
  </si>
  <si>
    <t>IVA del Seguro del Bien</t>
  </si>
  <si>
    <t xml:space="preserve">Tax of Asset Insurance </t>
  </si>
  <si>
    <t>[i1416: APPTRA]</t>
  </si>
  <si>
    <t>Valor de Placas y Tenencia</t>
  </si>
  <si>
    <t>Plates and Registration Tax Amount</t>
  </si>
  <si>
    <t>[i1417: APPTRWT]</t>
  </si>
  <si>
    <t>Valor de Placas y Tenencia Sin IVA</t>
  </si>
  <si>
    <t>Plates and Registration Tax Without Tax</t>
  </si>
  <si>
    <t>[i1418: APPTRT]</t>
  </si>
  <si>
    <t>IVA de Placas y Tenencia</t>
  </si>
  <si>
    <t>Tax of Plates and Registration Tax</t>
  </si>
  <si>
    <t>[i1419: APVASA]</t>
  </si>
  <si>
    <t>Valor de Verificacion y Gestoria</t>
  </si>
  <si>
    <t>Verification and Assistance Amount</t>
  </si>
  <si>
    <t>[i1420: APVASWT]</t>
  </si>
  <si>
    <t>Valor de Verificacion y Gestoria Sin IVA</t>
  </si>
  <si>
    <t>Verification and Assistance Without Tax</t>
  </si>
  <si>
    <t>[i1421: APVAST]</t>
  </si>
  <si>
    <t>IVA de Verificacion y Gestoria</t>
  </si>
  <si>
    <t>Tax of Verification and Assistance</t>
  </si>
  <si>
    <t>[i1422: APDWPA]</t>
  </si>
  <si>
    <t>Valor Anticipo a Rentas (Deposito Garantia)</t>
  </si>
  <si>
    <t>Down Payment Amount</t>
  </si>
  <si>
    <t>[i1423: APDWPWT]</t>
  </si>
  <si>
    <t>Valor Anticipo a Rentas Sin IVA</t>
  </si>
  <si>
    <t>Down Payment Without Tax</t>
  </si>
  <si>
    <t>[i1424: APDWPT]</t>
  </si>
  <si>
    <t>IVA de Anticipo a Rentas</t>
  </si>
  <si>
    <t>Tax of Down Payment</t>
  </si>
  <si>
    <t>[i1425: APTFNA]</t>
  </si>
  <si>
    <t>Valor Total a Financiar</t>
  </si>
  <si>
    <t>Total Financed Amount</t>
  </si>
  <si>
    <t>[i1426: APTFNWT]</t>
  </si>
  <si>
    <t>Valor Total a Financiar Sin IVA</t>
  </si>
  <si>
    <t>Total Financed Without Tax</t>
  </si>
  <si>
    <t>[i1427: APTFNT]</t>
  </si>
  <si>
    <t>IVA del Total a Financiar</t>
  </si>
  <si>
    <t>Tax of Total Financed Amont</t>
  </si>
  <si>
    <t>[i1428: APBPYA]</t>
  </si>
  <si>
    <t>Valor Total del Residual</t>
  </si>
  <si>
    <t>Total Balloon Payment</t>
  </si>
  <si>
    <t>[i1429: APBPYWT]</t>
  </si>
  <si>
    <t>Valor Residual Sin IVA</t>
  </si>
  <si>
    <t>Balloon Payment Without Tax</t>
  </si>
  <si>
    <t>[i1430: APBPYT]</t>
  </si>
  <si>
    <t>IVA del Valor Residual</t>
  </si>
  <si>
    <t>Tax of Balloon Payment</t>
  </si>
  <si>
    <t>[i1431: APBLPAL]</t>
  </si>
  <si>
    <t>Valor Total del Residual en Letras</t>
  </si>
  <si>
    <t>Total Balloon Payment Letters</t>
  </si>
  <si>
    <t>[i1432: APBPYD]</t>
  </si>
  <si>
    <t>Fecha de Vencimiento Residual</t>
  </si>
  <si>
    <t>Balloon Payment Due Date</t>
  </si>
  <si>
    <t>[i1433: APFPYD]</t>
  </si>
  <si>
    <t>Fecha de Vencimiento Primera Renta</t>
  </si>
  <si>
    <t>First Payment Due Date</t>
  </si>
  <si>
    <t>[i1434: APTPYL]</t>
  </si>
  <si>
    <t>Suma todos los pagos del credito.  M.Pagare letras</t>
  </si>
  <si>
    <t>App Total to Pay letters</t>
  </si>
  <si>
    <t>[i1435: CRLPYD]</t>
  </si>
  <si>
    <t>Última fecha de pago en la tabla de amortización</t>
  </si>
  <si>
    <t>[i1436: PAGINI]</t>
  </si>
  <si>
    <t>Suma cargos Pre-apertura (Seguro, comisiones, etc)</t>
  </si>
  <si>
    <t>[i1437: PAGINIL]</t>
  </si>
  <si>
    <t>Suma cargos Pre-apertura letra. Seg, comision, etc</t>
  </si>
  <si>
    <t>[i1438: GARANLI]</t>
  </si>
  <si>
    <t>Garantía Líquida (ALFN)</t>
  </si>
  <si>
    <t>[i1441: APCOBGT]</t>
  </si>
  <si>
    <t>Cobertura de garantia (Valor del Activo)</t>
  </si>
  <si>
    <t>Guarantee coberture</t>
  </si>
  <si>
    <t>[i1450: CRAMMAPCMS]</t>
  </si>
  <si>
    <t>Monto del Credito menos Importe de Comision de Apertura Numero</t>
  </si>
  <si>
    <t>Credit Amount minus Total Openning Commission Amount</t>
  </si>
  <si>
    <t>[i1451: APCMSR]</t>
  </si>
  <si>
    <t>Tasa de Comision de Apertura</t>
  </si>
  <si>
    <t>Openning Commission Rate</t>
  </si>
  <si>
    <t>[i1452: APCMSRL]</t>
  </si>
  <si>
    <t>Tasa de Comision de Apertura en Letras</t>
  </si>
  <si>
    <t>Openning Commission Rate Letters</t>
  </si>
  <si>
    <t>GRUPALES</t>
  </si>
  <si>
    <t>CREDITOS GRUPALES</t>
  </si>
  <si>
    <t>[i1601: NCLCR1]</t>
  </si>
  <si>
    <t>Numero del cliente crédito #1 Grupal</t>
  </si>
  <si>
    <t>[i1602: NCLCR2]</t>
  </si>
  <si>
    <t>Numero del cliente crédito #2 Grupal</t>
  </si>
  <si>
    <t>[i1603: NCLCR3]</t>
  </si>
  <si>
    <t>Numero del cliente crédito #3 Grupal</t>
  </si>
  <si>
    <t>[i1604: NCLCR4]</t>
  </si>
  <si>
    <t>Numero del cliente crédito #4 Grupal</t>
  </si>
  <si>
    <t>[i1605: NCLCR5]</t>
  </si>
  <si>
    <t>Numero del cliente crédito #5 Grupal</t>
  </si>
  <si>
    <t>[i1606: NCLCR6]</t>
  </si>
  <si>
    <t>Numero del cliente crédito #6 Grupal</t>
  </si>
  <si>
    <t>[i1607: NCLCR7]</t>
  </si>
  <si>
    <t>Numero del cliente crédito #7 Grupal</t>
  </si>
  <si>
    <t>[i1608: NCLCR8]</t>
  </si>
  <si>
    <t>Numero del cliente crédito #8 Grupal</t>
  </si>
  <si>
    <t>[i1609: NCLCR9]</t>
  </si>
  <si>
    <t>Numero del cliente crédito #9 Grupal</t>
  </si>
  <si>
    <t>[i1610: NCLCR10]</t>
  </si>
  <si>
    <t>Numero del cliente crédito #10 Grupal</t>
  </si>
  <si>
    <t>[i1611: NCLCR11]</t>
  </si>
  <si>
    <t>Numero del cliente crédito #11 Grupal</t>
  </si>
  <si>
    <t>[i1612: NCLCR12]</t>
  </si>
  <si>
    <t>Numero del cliente crédito #12 Grupal</t>
  </si>
  <si>
    <t>[i1613: NCLCR13]</t>
  </si>
  <si>
    <t>Numero del cliente crédito #13 Grupal</t>
  </si>
  <si>
    <t>[i1614: NCLCR14]</t>
  </si>
  <si>
    <t>Numero del cliente crédito #14 Grupal</t>
  </si>
  <si>
    <t>[i1615: NCLCR15]</t>
  </si>
  <si>
    <t>Numero del cliente crédito #15 Grupal</t>
  </si>
  <si>
    <t>[i1616: NCLCR16]</t>
  </si>
  <si>
    <t>Numero del cliente crédito #16 Grupal</t>
  </si>
  <si>
    <t>[i1617: NCLCR17]</t>
  </si>
  <si>
    <t>Numero del cliente crédito #17 Grupal</t>
  </si>
  <si>
    <t>[i1618: NCLCR18]</t>
  </si>
  <si>
    <t>Numero del cliente crédito #18 Grupal</t>
  </si>
  <si>
    <t>[i1619: NCLCR19]</t>
  </si>
  <si>
    <t>Numero del cliente crédito #19 Grupal</t>
  </si>
  <si>
    <t>[i1620: NCLCR20]</t>
  </si>
  <si>
    <t>Numero del cliente crédito #20 Grupal</t>
  </si>
  <si>
    <t>[i1621: NCLCR21]</t>
  </si>
  <si>
    <t>Numero del cliente crédito #21 Grupal</t>
  </si>
  <si>
    <t>[i1622: NCLCR22]</t>
  </si>
  <si>
    <t>Numero del cliente crédito #22 Grupal</t>
  </si>
  <si>
    <t>[i1623: NCLCR23]</t>
  </si>
  <si>
    <t>Numero del cliente crédito #23 Grupal</t>
  </si>
  <si>
    <t>[i1624: NCLCR24]</t>
  </si>
  <si>
    <t>Numero del cliente crédito #24 Grupal</t>
  </si>
  <si>
    <t>[i1625: NCLCR25]</t>
  </si>
  <si>
    <t>Numero del cliente crédito #25 Grupal</t>
  </si>
  <si>
    <t>[i1626: NCLCR26]</t>
  </si>
  <si>
    <t>Numero del cliente crédito #26 Grupal</t>
  </si>
  <si>
    <t>[i1627: NCLCR27]</t>
  </si>
  <si>
    <t>Numero del cliente crédito #27 Grupal</t>
  </si>
  <si>
    <t>[i1628: NCLCR28]</t>
  </si>
  <si>
    <t>Numero del cliente crédito #28 Grupal</t>
  </si>
  <si>
    <t>[i1629: NCLCR29]</t>
  </si>
  <si>
    <t>Numero del cliente crédito #29 Grupal</t>
  </si>
  <si>
    <t>[i1630: NCLCR30]</t>
  </si>
  <si>
    <t>Numero del cliente crédito #30 Grupal</t>
  </si>
  <si>
    <t>[i1631: NCLCR31]</t>
  </si>
  <si>
    <t>Numero del cliente crédito #31 Grupal</t>
  </si>
  <si>
    <t>[i1632: NCLCR32]</t>
  </si>
  <si>
    <t>Numero del cliente crédito #32 Grupal</t>
  </si>
  <si>
    <t>[i1633: NCLCR33]</t>
  </si>
  <si>
    <t>Numero del cliente crédito #33 Grupal</t>
  </si>
  <si>
    <t>[i1634: NCLCR34]</t>
  </si>
  <si>
    <t>Numero del cliente crédito #34 Grupal</t>
  </si>
  <si>
    <t>[i1635: NCLCR35]</t>
  </si>
  <si>
    <t>Numero del cliente crédito #35 Grupal</t>
  </si>
  <si>
    <t>[i1636: NCLCR36]</t>
  </si>
  <si>
    <t>Numero del cliente crédito #36 Grupal</t>
  </si>
  <si>
    <t>[i1637: NCLCR37]</t>
  </si>
  <si>
    <t>Numero del cliente crédito #37 Grupal</t>
  </si>
  <si>
    <t>[i1638: NCLCR38]</t>
  </si>
  <si>
    <t>Numero del cliente crédito #38 Grupal</t>
  </si>
  <si>
    <t>[i1639: NCLCR39]</t>
  </si>
  <si>
    <t>Numero del cliente crédito #39 Grupal</t>
  </si>
  <si>
    <t>[i1640: NCLCR40]</t>
  </si>
  <si>
    <t>Numero del cliente crédito #40 Grupal</t>
  </si>
  <si>
    <t>[i1641: MAUTCR1]</t>
  </si>
  <si>
    <t>Monto del Crédito solicitado #1 Grupal</t>
  </si>
  <si>
    <t>[i1642: MAUTCR2]</t>
  </si>
  <si>
    <t>Monto del Crédito solicitado #2 Grupal</t>
  </si>
  <si>
    <t>[i1643: MAUTCR3]</t>
  </si>
  <si>
    <t>Monto del Crédito solicitado #3 Grupal</t>
  </si>
  <si>
    <t>[i1644: MAUTCR4]</t>
  </si>
  <si>
    <t>Monto del Crédito solicitado #4 Grupal</t>
  </si>
  <si>
    <t>[i1645: MAUTCR5]</t>
  </si>
  <si>
    <t>Monto del Crédito solicitado #5 Grupal</t>
  </si>
  <si>
    <t>[i1646: MAUTCR6]</t>
  </si>
  <si>
    <t>Monto del Crédito solicitado #6 Grupal</t>
  </si>
  <si>
    <t>[i1647: MAUTCR7]</t>
  </si>
  <si>
    <t>Monto del Crédito solicitado #7 Grupal</t>
  </si>
  <si>
    <t>[i1648: MAUTCR8]</t>
  </si>
  <si>
    <t>Monto del Crédito solicitado #8 Grupal</t>
  </si>
  <si>
    <t>[i1649: MAUTCR9]</t>
  </si>
  <si>
    <t>Monto del Crédito solicitado #9 Grupal</t>
  </si>
  <si>
    <t>[i1650: MAUTCR10]</t>
  </si>
  <si>
    <t>Monto del Crédito solicitado #10 Grupal</t>
  </si>
  <si>
    <t>[i1651: MAUTCR11]</t>
  </si>
  <si>
    <t>Monto del Crédito solicitado #11 Grupal</t>
  </si>
  <si>
    <t>[i1652: MAUTCR12]</t>
  </si>
  <si>
    <t>Monto del Crédito solicitado #12 Grupal</t>
  </si>
  <si>
    <t>[i1653: MAUTCR13]</t>
  </si>
  <si>
    <t>Monto del Crédito solicitado #13 Grupal</t>
  </si>
  <si>
    <t>[i1654: MAUTCR14]</t>
  </si>
  <si>
    <t>Monto del Crédito solicitado #14 Grupal</t>
  </si>
  <si>
    <t>[i1655: MAUTCR15]</t>
  </si>
  <si>
    <t>Monto del Crédito solicitado #15 Grupal</t>
  </si>
  <si>
    <t>[i1656: MAUTCR16]</t>
  </si>
  <si>
    <t>Monto del Crédito solicitado #16 Grupal</t>
  </si>
  <si>
    <t>[i1657: MAUTCR17]</t>
  </si>
  <si>
    <t>Monto del Crédito solicitado #17 Grupal</t>
  </si>
  <si>
    <t>[i1658: MAUTCR18]</t>
  </si>
  <si>
    <t>Monto del Crédito solicitado #18 Grupal</t>
  </si>
  <si>
    <t>[i1659: MAUTCR19]</t>
  </si>
  <si>
    <t>Monto del Crédito solicitado #19 Grupal</t>
  </si>
  <si>
    <t>[i1660: MAUTCR20]</t>
  </si>
  <si>
    <t>Monto del Crédito solicitado #20 Grupal</t>
  </si>
  <si>
    <t>[i1661: MAUTCR21]</t>
  </si>
  <si>
    <t>Monto del Crédito solicitado #21 Grupal</t>
  </si>
  <si>
    <t>[i1662: MAUTCR22]</t>
  </si>
  <si>
    <t>Monto del Crédito solicitado #22 Grupal</t>
  </si>
  <si>
    <t>[i1663: MAUTCR23]</t>
  </si>
  <si>
    <t>Monto del Crédito solicitado #23 Grupal</t>
  </si>
  <si>
    <t>[i1664: MAUTCR24]</t>
  </si>
  <si>
    <t>Monto del Crédito solicitado #24 Grupal</t>
  </si>
  <si>
    <t>[i1665: MAUTCR25]</t>
  </si>
  <si>
    <t>Monto del Crédito solicitado #25 Grupal</t>
  </si>
  <si>
    <t>[i1666: MAUTCR26]</t>
  </si>
  <si>
    <t>Monto del Crédito solicitado #26 Grupal</t>
  </si>
  <si>
    <t>[i1667: MAUTCR27]</t>
  </si>
  <si>
    <t>Monto del Crédito solicitado #27 Grupal</t>
  </si>
  <si>
    <t>[i1668: MAUTCR28]</t>
  </si>
  <si>
    <t>Monto del Crédito solicitado #28 Grupal</t>
  </si>
  <si>
    <t>[i1669: MAUTCR29]</t>
  </si>
  <si>
    <t>Monto del Crédito solicitado #29 Grupal</t>
  </si>
  <si>
    <t>[i1670: MAUTCR30]</t>
  </si>
  <si>
    <t>Monto del Crédito solicitado #30 Grupal</t>
  </si>
  <si>
    <t>[i1671: MAUTCR31]</t>
  </si>
  <si>
    <t>Monto del Crédito solicitado #31 Grupal</t>
  </si>
  <si>
    <t>[i1672: MAUTCR32]</t>
  </si>
  <si>
    <t>Monto del Crédito solicitado #32 Grupal</t>
  </si>
  <si>
    <t>[i1673: MAUTCR33]</t>
  </si>
  <si>
    <t>Monto del Crédito solicitado #33 Grupal</t>
  </si>
  <si>
    <t>[i1674: MAUTCR34]</t>
  </si>
  <si>
    <t>Monto del Crédito solicitado #34 Grupal</t>
  </si>
  <si>
    <t>[i1675: MAUTCR35]</t>
  </si>
  <si>
    <t>Monto del Crédito solicitado #35 Grupal</t>
  </si>
  <si>
    <t>[i1676: MAUTCR36]</t>
  </si>
  <si>
    <t>Monto del Crédito solicitado #36 Grupal</t>
  </si>
  <si>
    <t>[i1677: MAUTCR37]</t>
  </si>
  <si>
    <t>Monto del Crédito solicitado #37 Grupal</t>
  </si>
  <si>
    <t>[i1678: MAUTCR38]</t>
  </si>
  <si>
    <t>Monto del Crédito solicitado #38 Grupal</t>
  </si>
  <si>
    <t>[i1679: MAUTCR39]</t>
  </si>
  <si>
    <t>Monto del Crédito solicitado #39 Grupal</t>
  </si>
  <si>
    <t>[i1680: MAUTCR40]</t>
  </si>
  <si>
    <t>Monto del Crédito solicitado #40 Grupal</t>
  </si>
  <si>
    <t>[i1681: MAUTCR1]</t>
  </si>
  <si>
    <t>Monto Crédito autorizado crédito #1 Grupal</t>
  </si>
  <si>
    <t>[i1682: MAUTCR2]</t>
  </si>
  <si>
    <t>Monto Crédito autorizado crédito #2 Grupal</t>
  </si>
  <si>
    <t>[i1683: MAUTCR3]</t>
  </si>
  <si>
    <t>Monto Crédito autorizado crédito #3 Grupal</t>
  </si>
  <si>
    <t>[i1684: MAUTCR4]</t>
  </si>
  <si>
    <t>Monto Crédito autorizado crédito #4 Grupal</t>
  </si>
  <si>
    <t>[i1685: MAUTCR5]</t>
  </si>
  <si>
    <t>Monto Crédito autorizado crédito #5 Grupal</t>
  </si>
  <si>
    <t>[i1686: MAUTCR6]</t>
  </si>
  <si>
    <t>Monto Crédito autorizado crédito #6 Grupal</t>
  </si>
  <si>
    <t>[i1687: MAUTCR7]</t>
  </si>
  <si>
    <t>Monto Crédito autorizado crédito #7 Grupal</t>
  </si>
  <si>
    <t>[i1688: MAUTCR8]</t>
  </si>
  <si>
    <t>Monto Crédito autorizado crédito #8 Grupal</t>
  </si>
  <si>
    <t>[i1689: MAUTCR9]</t>
  </si>
  <si>
    <t>Monto Crédito autorizado crédito #9 Grupal</t>
  </si>
  <si>
    <t>[i1690: MAUTCR10]</t>
  </si>
  <si>
    <t>Monto Crédito autorizado crédito #10 Grupal</t>
  </si>
  <si>
    <t>[i1691: MAUTCR11]</t>
  </si>
  <si>
    <t>Monto Crédito autorizado crédito #11 Grupal</t>
  </si>
  <si>
    <t>[i1692: MAUTCR12]</t>
  </si>
  <si>
    <t>Monto Crédito autorizado crédito #12 Grupal</t>
  </si>
  <si>
    <t>[i1693: MAUTCR13]</t>
  </si>
  <si>
    <t>Monto Crédito autorizado crédito #13 Grupal</t>
  </si>
  <si>
    <t>[i1694: MAUTCR14]</t>
  </si>
  <si>
    <t>Monto Crédito autorizado crédito #14 Grupal</t>
  </si>
  <si>
    <t>[i1695: MAUTCR15]</t>
  </si>
  <si>
    <t>Monto Crédito autorizado crédito #15 Grupal</t>
  </si>
  <si>
    <t>[i1696: MAUTCR16]</t>
  </si>
  <si>
    <t>Monto Crédito autorizado crédito #16 Grupal</t>
  </si>
  <si>
    <t>[i1697: MAUTCR17]</t>
  </si>
  <si>
    <t>Monto Crédito autorizado crédito #17 Grupal</t>
  </si>
  <si>
    <t>[i1698: MAUTCR18]</t>
  </si>
  <si>
    <t>Monto Crédito autorizado crédito #18 Grupal</t>
  </si>
  <si>
    <t>[i1699: MAUTCR19]</t>
  </si>
  <si>
    <t>Monto Crédito autorizado crédito #19 Grupal</t>
  </si>
  <si>
    <t>[i1700: MAUTCR20]</t>
  </si>
  <si>
    <t>Monto Crédito autorizado crédito #20 Grupal</t>
  </si>
  <si>
    <t>[i1701: MAUTCR21]</t>
  </si>
  <si>
    <t>Monto Crédito autorizado crédito #21 Grupal</t>
  </si>
  <si>
    <t>[i1702: MAUTCR22]</t>
  </si>
  <si>
    <t>Monto Crédito autorizado crédito #22 Grupal</t>
  </si>
  <si>
    <t>[i1703: MAUTCR23]</t>
  </si>
  <si>
    <t>Monto Crédito autorizado crédito #23 Grupal</t>
  </si>
  <si>
    <t>[i1704: MAUTCR24]</t>
  </si>
  <si>
    <t>Monto Crédito autorizado crédito #24 Grupal</t>
  </si>
  <si>
    <t>[i1705: MAUTCR25]</t>
  </si>
  <si>
    <t>Monto Crédito autorizado crédito #25 Grupal</t>
  </si>
  <si>
    <t>[i1706: MAUTCR26]</t>
  </si>
  <si>
    <t>Monto Crédito autorizado crédito #26 Grupal</t>
  </si>
  <si>
    <t>[i1707: MAUTCR27]</t>
  </si>
  <si>
    <t>Monto Crédito autorizado crédito #27 Grupal</t>
  </si>
  <si>
    <t>[i1708: MAUTCR28]</t>
  </si>
  <si>
    <t>Monto Crédito autorizado crédito #28 Grupal</t>
  </si>
  <si>
    <t>[i1709: MAUTCR29]</t>
  </si>
  <si>
    <t>Monto Crédito autorizado crédito #29 Grupal</t>
  </si>
  <si>
    <t>[i1710: MAUTCR30]</t>
  </si>
  <si>
    <t>Monto Crédito autorizado crédito #30 Grupal</t>
  </si>
  <si>
    <t>[i1711: MAUTCR31]</t>
  </si>
  <si>
    <t>Monto Crédito autorizado crédito #31 Grupal</t>
  </si>
  <si>
    <t>[i1712: MAUTCR32]</t>
  </si>
  <si>
    <t>Monto Crédito autorizado crédito #32 Grupal</t>
  </si>
  <si>
    <t>[i1713: MAUTCR33]</t>
  </si>
  <si>
    <t>Monto Crédito autorizado crédito #33 Grupal</t>
  </si>
  <si>
    <t>[i1714: MAUTCR34]</t>
  </si>
  <si>
    <t>Monto Crédito autorizado crédito #34 Grupal</t>
  </si>
  <si>
    <t>[i1715: MAUTCR35]</t>
  </si>
  <si>
    <t>Monto Crédito autorizado crédito #35 Grupal</t>
  </si>
  <si>
    <t>[i1716: MAUTCR36]</t>
  </si>
  <si>
    <t>Monto Crédito autorizado crédito #36 Grupal</t>
  </si>
  <si>
    <t>[i1717: MAUTCR37]</t>
  </si>
  <si>
    <t>Monto Crédito autorizado crédito #37 Grupal</t>
  </si>
  <si>
    <t>[i1718: MAUTCR38]</t>
  </si>
  <si>
    <t>Monto Crédito autorizado crédito #38 Grupal</t>
  </si>
  <si>
    <t>[i1719: MAUTCR39]</t>
  </si>
  <si>
    <t>Monto Crédito autorizado crédito #39 Grupal</t>
  </si>
  <si>
    <t>[i1720: MAUTCR40]</t>
  </si>
  <si>
    <t>Monto Crédito autorizado crédito #40 Grupal</t>
  </si>
  <si>
    <t>[i1721: NUMCR1]</t>
  </si>
  <si>
    <t>Numero del crédito grupal 1</t>
  </si>
  <si>
    <t>[i1722: NUMCR2]</t>
  </si>
  <si>
    <t>Numero del crédito grupal 2</t>
  </si>
  <si>
    <t>[i1723: NUMCR3]</t>
  </si>
  <si>
    <t>Numero del crédito grupal 3</t>
  </si>
  <si>
    <t>[i1724: NUMCR4]</t>
  </si>
  <si>
    <t>Numero del crédito grupal 4</t>
  </si>
  <si>
    <t>[i1725: NUMCR5]</t>
  </si>
  <si>
    <t>Numero del crédito grupal 5</t>
  </si>
  <si>
    <t>[i1726: NUMCR6]</t>
  </si>
  <si>
    <t>Numero del crédito grupal 6</t>
  </si>
  <si>
    <t>[i1727: NUMCR7]</t>
  </si>
  <si>
    <t>Numero del crédito grupal 7</t>
  </si>
  <si>
    <t>[i1728: NUMCR8]</t>
  </si>
  <si>
    <t>Numero del crédito grupal 8</t>
  </si>
  <si>
    <t>[i1729: NUMCR9]</t>
  </si>
  <si>
    <t>Numero del crédito grupal 9</t>
  </si>
  <si>
    <t>[i1730: NUMCR10]</t>
  </si>
  <si>
    <t>Numero del crédito grupal 10</t>
  </si>
  <si>
    <t>[i1731: NUMCR11]</t>
  </si>
  <si>
    <t>Numero del crédito grupal 11</t>
  </si>
  <si>
    <t>[i1732: NUMCR12]</t>
  </si>
  <si>
    <t>Numero del crédito grupal 12</t>
  </si>
  <si>
    <t>[i1733: NUMCR13]</t>
  </si>
  <si>
    <t>Numero del crédito grupal 13</t>
  </si>
  <si>
    <t>[i1734: NUMCR14]</t>
  </si>
  <si>
    <t>Numero del crédito grupal 14</t>
  </si>
  <si>
    <t>[i1735: NUMCR15]</t>
  </si>
  <si>
    <t>Numero del crédito grupal 15</t>
  </si>
  <si>
    <t>[i1736: NUMCR16]</t>
  </si>
  <si>
    <t>Numero del crédito grupal 16</t>
  </si>
  <si>
    <t>[i1737: NUMCR17]</t>
  </si>
  <si>
    <t>Numero del crédito grupal 17</t>
  </si>
  <si>
    <t>[i1738: NUMCR18]</t>
  </si>
  <si>
    <t>Numero del crédito grupal 18</t>
  </si>
  <si>
    <t>[i1739: NUMCR19]</t>
  </si>
  <si>
    <t>Numero del crédito grupal 19</t>
  </si>
  <si>
    <t>[i1740: NUMCR20]</t>
  </si>
  <si>
    <t>Numero del crédito grupal 20</t>
  </si>
  <si>
    <t>[i1741: NUMCR21]</t>
  </si>
  <si>
    <t>Numero del crédito grupal 21</t>
  </si>
  <si>
    <t>[i1742: NUMCR22]</t>
  </si>
  <si>
    <t>Numero del crédito grupal 22</t>
  </si>
  <si>
    <t>[i1743: NUMCR23]</t>
  </si>
  <si>
    <t>Numero del crédito grupal 23</t>
  </si>
  <si>
    <t>[i1744: NUMCR24]</t>
  </si>
  <si>
    <t>Numero del crédito grupal 24</t>
  </si>
  <si>
    <t>[i1745: NUMCR25]</t>
  </si>
  <si>
    <t>Numero del crédito grupal 25</t>
  </si>
  <si>
    <t>[i1746: NUMCR26]</t>
  </si>
  <si>
    <t>Numero del crédito grupal 26</t>
  </si>
  <si>
    <t>[i1747: NUMCR27]</t>
  </si>
  <si>
    <t>Numero del crédito grupal 27</t>
  </si>
  <si>
    <t>[i1748: NUMCR28]</t>
  </si>
  <si>
    <t>Numero del crédito grupal 28</t>
  </si>
  <si>
    <t>[i1749: NUMCR29]</t>
  </si>
  <si>
    <t>Numero del crédito grupal 29</t>
  </si>
  <si>
    <t>[i1750: NUMCR30]</t>
  </si>
  <si>
    <t>Numero del crédito grupal 30</t>
  </si>
  <si>
    <t>[i1751: NUMCR31]</t>
  </si>
  <si>
    <t>Numero del crédito grupal 31</t>
  </si>
  <si>
    <t>[i1752: NUMCR32]</t>
  </si>
  <si>
    <t>Numero del crédito grupal 32</t>
  </si>
  <si>
    <t>[i1753: NUMCR33]</t>
  </si>
  <si>
    <t>Numero del crédito grupal 33</t>
  </si>
  <si>
    <t>[i1754: NUMCR34]</t>
  </si>
  <si>
    <t>Numero del crédito grupal 34</t>
  </si>
  <si>
    <t>[i1755: NUMCR35]</t>
  </si>
  <si>
    <t>Numero del crédito grupal 35</t>
  </si>
  <si>
    <t>[i1756: NUMCR36]</t>
  </si>
  <si>
    <t>Numero del crédito grupal 36</t>
  </si>
  <si>
    <t>[i1757: NUMCR37]</t>
  </si>
  <si>
    <t>Numero del crédito grupal 37</t>
  </si>
  <si>
    <t>[i1758: NUMCR38]</t>
  </si>
  <si>
    <t>Numero del crédito grupal 38</t>
  </si>
  <si>
    <t>[i1759: NUMCR39]</t>
  </si>
  <si>
    <t>Numero del crédito grupal 39</t>
  </si>
  <si>
    <t>[i1760: NUMCR60]</t>
  </si>
  <si>
    <t>Numero del crédito grupal 40</t>
  </si>
  <si>
    <t>[i1761: NUMREF1]</t>
  </si>
  <si>
    <t>Referencia Dispersion numero de crédito 1</t>
  </si>
  <si>
    <t>[i1762: NUMREF2]</t>
  </si>
  <si>
    <t>Referencia Dispersion numero de crédito 2</t>
  </si>
  <si>
    <t>[i1763: NUMREF3]</t>
  </si>
  <si>
    <t>Referencia Dispersion numero de crédito 3</t>
  </si>
  <si>
    <t>[i1764: NUMREF4]</t>
  </si>
  <si>
    <t>Referencia Dispersion numero de crédito 4</t>
  </si>
  <si>
    <t>[i1765: NUMREF5]</t>
  </si>
  <si>
    <t>Referencia Dispersion numero de crédito 5</t>
  </si>
  <si>
    <t>[i1766: NUMREF6]</t>
  </si>
  <si>
    <t>Referencia Dispersion numero de crédito 6</t>
  </si>
  <si>
    <t>[i1767: NUMREF7]</t>
  </si>
  <si>
    <t>Referencia Dispersion numero de crédito 7</t>
  </si>
  <si>
    <t>[i1768: NUMREF8]</t>
  </si>
  <si>
    <t>Referencia Dispersion numero de crédito 8</t>
  </si>
  <si>
    <t>[i1769: NUMREF9]</t>
  </si>
  <si>
    <t>Referencia Dispersion numero de crédito 9</t>
  </si>
  <si>
    <t>[i1770: NUMREF10]</t>
  </si>
  <si>
    <t>Referencia Dispersion numero de crédito 10</t>
  </si>
  <si>
    <t>[i1771: NUMREF11]</t>
  </si>
  <si>
    <t>Referencia Dispersion numero de crédito 11</t>
  </si>
  <si>
    <t>[i1772: NUMREF12]</t>
  </si>
  <si>
    <t>Referencia Dispersion numero de crédito 12</t>
  </si>
  <si>
    <t>[i1773: NUMREF13]</t>
  </si>
  <si>
    <t>Referencia Dispersion numero de crédito 13</t>
  </si>
  <si>
    <t>[i1774: NUMREF14]</t>
  </si>
  <si>
    <t>Referencia Dispersion numero de crédito 14</t>
  </si>
  <si>
    <t>[i1775: NUMREF15]</t>
  </si>
  <si>
    <t>Referencia Dispersion numero de crédito 15</t>
  </si>
  <si>
    <t>[i1776: NUMREF16]</t>
  </si>
  <si>
    <t>Referencia Dispersion numero de crédito 16</t>
  </si>
  <si>
    <t>[i1777: NUMREF17]</t>
  </si>
  <si>
    <t>Referencia Dispersion numero de crédito 17</t>
  </si>
  <si>
    <t>[i1778: NUMREF18]</t>
  </si>
  <si>
    <t>Referencia Dispersion numero de crédito 18</t>
  </si>
  <si>
    <t>[i1779: NUMREF19]</t>
  </si>
  <si>
    <t>Referencia Dispersion numero de crédito 19</t>
  </si>
  <si>
    <t>[i1780: NUMREF20]</t>
  </si>
  <si>
    <t>Referencia Dispersion numero de crédito 20</t>
  </si>
  <si>
    <t>[i1781: NUMREF21]</t>
  </si>
  <si>
    <t>Referencia Dispersion numero de crédito 21</t>
  </si>
  <si>
    <t>[i1782: NUMREF22]</t>
  </si>
  <si>
    <t>Referencia Dispersion numero de crédito 22</t>
  </si>
  <si>
    <t>[i1783: NUMREF23]</t>
  </si>
  <si>
    <t>Referencia Dispersion numero de crédito 23</t>
  </si>
  <si>
    <t>[i1784: NUMREF24]</t>
  </si>
  <si>
    <t>Referencia Dispersion numero de crédito 24</t>
  </si>
  <si>
    <t>[i1785: NUMREF25]</t>
  </si>
  <si>
    <t>Referencia Dispersion numero de crédito 25</t>
  </si>
  <si>
    <t>[i1786: NUMREF26]</t>
  </si>
  <si>
    <t>Referencia Dispersion numero de crédito 26</t>
  </si>
  <si>
    <t>[i1787: NUMREF27]</t>
  </si>
  <si>
    <t>Referencia Dispersion numero de crédito 27</t>
  </si>
  <si>
    <t>[i1788: NUMREF28]</t>
  </si>
  <si>
    <t>Referencia Dispersion numero de crédito 28</t>
  </si>
  <si>
    <t>[i1789: NUMREF29]</t>
  </si>
  <si>
    <t>Referencia Dispersion numero de crédito 29</t>
  </si>
  <si>
    <t>[i1790: NUMREF30]</t>
  </si>
  <si>
    <t>Referencia Dispersion numero de crédito 30</t>
  </si>
  <si>
    <t>[i1791: NUMREF31]</t>
  </si>
  <si>
    <t>Referencia Dispersion numero de crédito 31</t>
  </si>
  <si>
    <t>[i1792: NUMREF32]</t>
  </si>
  <si>
    <t>Referencia Dispersion numero de crédito 32</t>
  </si>
  <si>
    <t>[i1793: NUMREF33]</t>
  </si>
  <si>
    <t>Referencia Dispersion numero de crédito 33</t>
  </si>
  <si>
    <t>[i1794: NUMREF34]</t>
  </si>
  <si>
    <t>Referencia Dispersion numero de crédito 34</t>
  </si>
  <si>
    <t>[i1795: NUMREF35]</t>
  </si>
  <si>
    <t>Referencia Dispersion numero de crédito 35</t>
  </si>
  <si>
    <t>[i1796: NUMREF36]</t>
  </si>
  <si>
    <t>Referencia Dispersion numero de crédito 36</t>
  </si>
  <si>
    <t>[i1797: NUMREF37]</t>
  </si>
  <si>
    <t>Referencia Dispersion numero de crédito 37</t>
  </si>
  <si>
    <t>[i1798: NUMREF38]</t>
  </si>
  <si>
    <t>Referencia Dispersion numero de crédito 38</t>
  </si>
  <si>
    <t>[i1799: NUMREF39]</t>
  </si>
  <si>
    <t>Referencia Dispersion numero de crédito 39</t>
  </si>
  <si>
    <t>[i1800: NUMREF40]</t>
  </si>
  <si>
    <t>Referencia Dispersion numero de crédito 40</t>
  </si>
  <si>
    <t>[i1801: DAP1]</t>
  </si>
  <si>
    <t>DAP (Referencia) crédito 1</t>
  </si>
  <si>
    <t>[i1802: DAP2]</t>
  </si>
  <si>
    <t>DAP (Referencia) crédito 2</t>
  </si>
  <si>
    <t>[i1803: DAP3]</t>
  </si>
  <si>
    <t>DAP (Referencia) crédito 3</t>
  </si>
  <si>
    <t>[i1804: DAP4]</t>
  </si>
  <si>
    <t>DAP (Referencia) crédito 4</t>
  </si>
  <si>
    <t>[i1805: DAP5]</t>
  </si>
  <si>
    <t>DAP (Referencia) crédito 5</t>
  </si>
  <si>
    <t>[i1806: DAP6]</t>
  </si>
  <si>
    <t>DAP (Referencia) crédito 6</t>
  </si>
  <si>
    <t>[i1807: DAP7]</t>
  </si>
  <si>
    <t>DAP (Referencia) crédito 7</t>
  </si>
  <si>
    <t>[i1808: DAP8]</t>
  </si>
  <si>
    <t>DAP (Referencia) crédito 8</t>
  </si>
  <si>
    <t>[i1809: DAP9]</t>
  </si>
  <si>
    <t>DAP (Referencia) crédito 9</t>
  </si>
  <si>
    <t>[i1810: DAP10]</t>
  </si>
  <si>
    <t>DAP (Referencia) crédito 10</t>
  </si>
  <si>
    <t>[i1811: DAP11]</t>
  </si>
  <si>
    <t>DAP (Referencia) crédito 11</t>
  </si>
  <si>
    <t>[i1812: DAP12]</t>
  </si>
  <si>
    <t>DAP (Referencia) crédito 12</t>
  </si>
  <si>
    <t>[i1813: DAP13]</t>
  </si>
  <si>
    <t>DAP (Referencia) crédito 13</t>
  </si>
  <si>
    <t>[i1814: DAP14]</t>
  </si>
  <si>
    <t>DAP (Referencia) crédito 14</t>
  </si>
  <si>
    <t>[i1815: DAP15]</t>
  </si>
  <si>
    <t>DAP (Referencia) crédito 15</t>
  </si>
  <si>
    <t>[i1816: DAP16]</t>
  </si>
  <si>
    <t>DAP (Referencia) crédito 16</t>
  </si>
  <si>
    <t>[i1817: DAP17]</t>
  </si>
  <si>
    <t>DAP (Referencia) crédito 17</t>
  </si>
  <si>
    <t>[i1818: DAP18]</t>
  </si>
  <si>
    <t>DAP (Referencia) crédito 18</t>
  </si>
  <si>
    <t>[i1819: DAP19]</t>
  </si>
  <si>
    <t>DAP (Referencia) crédito 19</t>
  </si>
  <si>
    <t>[i1820: DAP20]</t>
  </si>
  <si>
    <t>DAP (Referencia) crédito 20</t>
  </si>
  <si>
    <t>[i1821: DAP21]</t>
  </si>
  <si>
    <t>DAP (Referencia) crédito 21</t>
  </si>
  <si>
    <t>[i1822: DAP22]</t>
  </si>
  <si>
    <t>DAP (Referencia) crédito 22</t>
  </si>
  <si>
    <t>[i1823: DAP23]</t>
  </si>
  <si>
    <t>DAP (Referencia) crédito 23</t>
  </si>
  <si>
    <t>[i1824: DAP24]</t>
  </si>
  <si>
    <t>DAP (Referencia) crédito 24</t>
  </si>
  <si>
    <t>[i1825: DAP25]</t>
  </si>
  <si>
    <t>DAP (Referencia) crédito 25</t>
  </si>
  <si>
    <t>[i1826: DAP26]</t>
  </si>
  <si>
    <t>DAP (Referencia) crédito 26</t>
  </si>
  <si>
    <t>[i1827: DAP27]</t>
  </si>
  <si>
    <t>DAP (Referencia) crédito 27</t>
  </si>
  <si>
    <t>[i1828: DAP28]</t>
  </si>
  <si>
    <t>DAP (Referencia) crédito 28</t>
  </si>
  <si>
    <t>[i1829: DAP29]</t>
  </si>
  <si>
    <t>DAP (Referencia) crédito 29</t>
  </si>
  <si>
    <t>[i1830: DAP30]</t>
  </si>
  <si>
    <t>DAP (Referencia) crédito 30</t>
  </si>
  <si>
    <t>[i1831: DAP31]</t>
  </si>
  <si>
    <t>DAP (Referencia) crédito 31</t>
  </si>
  <si>
    <t>[i1832: DAP32]</t>
  </si>
  <si>
    <t>DAP (Referencia) crédito 32</t>
  </si>
  <si>
    <t>[i1833: DAP33]</t>
  </si>
  <si>
    <t>DAP (Referencia) crédito 33</t>
  </si>
  <si>
    <t>[i1834: DAP34]</t>
  </si>
  <si>
    <t>DAP (Referencia) crédito 34</t>
  </si>
  <si>
    <t>[i1835: DAP35]</t>
  </si>
  <si>
    <t>DAP (Referencia) crédito 35</t>
  </si>
  <si>
    <t>[i1836: DAP36]</t>
  </si>
  <si>
    <t>DAP (Referencia) crédito 36</t>
  </si>
  <si>
    <t>[i1837: DAP37]</t>
  </si>
  <si>
    <t>DAP (Referencia) crédito 37</t>
  </si>
  <si>
    <t>[i1838: DAP38]</t>
  </si>
  <si>
    <t>DAP (Referencia) crédito 38</t>
  </si>
  <si>
    <t>[i1839: DAP39]</t>
  </si>
  <si>
    <t>DAP (Referencia) crédito 39</t>
  </si>
  <si>
    <t>[i1840: DAP40]</t>
  </si>
  <si>
    <t>DAP (Referencia) crédito 40</t>
  </si>
  <si>
    <t>monto a liquidar de todos los créditos</t>
  </si>
  <si>
    <t>Valor de Liquidación del Credito a Unificar</t>
  </si>
  <si>
    <t>Monto de Liquidación letra crédito a unificar</t>
  </si>
  <si>
    <t>monto a liquidar en letras de todos los créditos</t>
  </si>
  <si>
    <t>[i1901: NUMGPO]</t>
  </si>
  <si>
    <t>Numero del Grupo</t>
  </si>
  <si>
    <t>[i1902: NOMGPO]</t>
  </si>
  <si>
    <t>Nombre del Grupo</t>
  </si>
  <si>
    <t>[i1904: CLOGPO]</t>
  </si>
  <si>
    <t>Ciclo del Grupo (Numero de crédito en el que van)</t>
  </si>
  <si>
    <t>[i1905: DRNGPO]</t>
  </si>
  <si>
    <t>Días de reunion del Grupo</t>
  </si>
  <si>
    <t>[i1906: HRNGPO]</t>
  </si>
  <si>
    <t>Hora de reunion del Grupo</t>
  </si>
  <si>
    <t>[i1907: DRNGPO]</t>
  </si>
  <si>
    <t>Domicilio de reunion del Grupo</t>
  </si>
  <si>
    <t>[i1908: NPDREN]</t>
  </si>
  <si>
    <t>Nombre propietario del domicilio de la reunion</t>
  </si>
  <si>
    <t>[i1910: NMPRGPO]</t>
  </si>
  <si>
    <t>Nombre Presidente de grupo</t>
  </si>
  <si>
    <t>[i1911: NMTSGPO]</t>
  </si>
  <si>
    <t>Nombre Tesorero de grupo</t>
  </si>
  <si>
    <t>[i1912: NMTSGPO]</t>
  </si>
  <si>
    <t>Nombre secretario de grupo</t>
  </si>
  <si>
    <t>[i1915: FAUTGPO]</t>
  </si>
  <si>
    <t>Fecha de Autorizacion del grupo</t>
  </si>
  <si>
    <t>[i1916: PZOGPO]</t>
  </si>
  <si>
    <t>Plazo del Grupo</t>
  </si>
  <si>
    <t>[i1917: TANGPO]</t>
  </si>
  <si>
    <t>Tasa anual del Grupo (Numero)</t>
  </si>
  <si>
    <t>[i1918: TALGPO]</t>
  </si>
  <si>
    <t>Tasa anual del Grupo (Letra)</t>
  </si>
  <si>
    <t>[i1919: MTGPON]</t>
  </si>
  <si>
    <t>Monto total del grupo (suma de los 10 creditos - Número)</t>
  </si>
  <si>
    <t>[i1920: MTGPOL]</t>
  </si>
  <si>
    <t>Monto total del grupo (suma de los 10 creditos - Letra)</t>
  </si>
  <si>
    <t>[i1921: PAGPOL]</t>
  </si>
  <si>
    <t>Valor del Pagare del Grupo (Numero)</t>
  </si>
  <si>
    <t>[i1922: PAGPON]</t>
  </si>
  <si>
    <t>Valor del Pagare del Grupo (letra)</t>
  </si>
  <si>
    <t>[i1923: COMIGPO]</t>
  </si>
  <si>
    <t>Comisión por Apertura (Numero)</t>
  </si>
  <si>
    <t>[i1924: CTAGPO]</t>
  </si>
  <si>
    <t>Valor de la Cuota</t>
  </si>
  <si>
    <t>[i1925: FPRIPGO]</t>
  </si>
  <si>
    <t>Fecha de primer pago (grupales)</t>
  </si>
  <si>
    <t>[i1926: FULTPGO]</t>
  </si>
  <si>
    <t>Fecha de ultimo pago (grupales)</t>
  </si>
  <si>
    <t>[i1927: VGAGPO]</t>
  </si>
  <si>
    <t>Valor de la garantía mas comision de apertura del Grupo</t>
  </si>
  <si>
    <t>[i1941: COMIPAG]</t>
  </si>
  <si>
    <t>Comisión por Pago Tardío (Numero)</t>
  </si>
  <si>
    <t>[i1942: CATGPO]</t>
  </si>
  <si>
    <t>CAT del Grupo</t>
  </si>
  <si>
    <t>[i2001: APAV01]</t>
  </si>
  <si>
    <t>[i2002: APAV02]</t>
  </si>
  <si>
    <t>[i2003: APAV03]</t>
  </si>
  <si>
    <t>[i2004: APAV04]</t>
  </si>
  <si>
    <t>[i2005: APAV05]</t>
  </si>
  <si>
    <t>[i2006: APAV06]</t>
  </si>
  <si>
    <t>[i2007: APAV07]</t>
  </si>
  <si>
    <t>[i2008: APAV08]</t>
  </si>
  <si>
    <t>[i2009: APAV09]</t>
  </si>
  <si>
    <t>[i2010: APAV10]</t>
  </si>
  <si>
    <t>[i2011: APAV11]</t>
  </si>
  <si>
    <t>[i2012: APAV12]</t>
  </si>
  <si>
    <t>[i2013: APAV13]</t>
  </si>
  <si>
    <t>[i2014: APAV14]</t>
  </si>
  <si>
    <t>[i2015: APAV15]</t>
  </si>
  <si>
    <t>[i2016: APAV16]</t>
  </si>
  <si>
    <t>[i2017: APAV17]</t>
  </si>
  <si>
    <t>[i2018: APAV18]</t>
  </si>
  <si>
    <t>[i2019: APAV19]</t>
  </si>
  <si>
    <t>[i2020: APAV20]</t>
  </si>
  <si>
    <t>[i2021: APAV21]</t>
  </si>
  <si>
    <t>[i2022: APAV22]</t>
  </si>
  <si>
    <t>[i2023: APAV23]</t>
  </si>
  <si>
    <t>[i2024: APAV24]</t>
  </si>
  <si>
    <t>[i2025: APAV25]</t>
  </si>
  <si>
    <t>[i2026: APAV26]</t>
  </si>
  <si>
    <t>[i2027: APAV27]</t>
  </si>
  <si>
    <t>[i2028: APAV28]</t>
  </si>
  <si>
    <t>[i2029: APAV29]</t>
  </si>
  <si>
    <t>[i2030: APAV30]</t>
  </si>
  <si>
    <t>[i2031: APAV31]</t>
  </si>
  <si>
    <t>[i2032: APAV32]</t>
  </si>
  <si>
    <t>[i2033: APAV33]</t>
  </si>
  <si>
    <t>[i2034: APAV34]</t>
  </si>
  <si>
    <t>[i2035: APAV35]</t>
  </si>
  <si>
    <t>[i2036: APAV36]</t>
  </si>
  <si>
    <t>[i2037: APAV37]</t>
  </si>
  <si>
    <t>[i2038: APAV38]</t>
  </si>
  <si>
    <t>[i2039: APAV39]</t>
  </si>
  <si>
    <t>[i2040: APAV40]</t>
  </si>
  <si>
    <t>[i2101: ADAV01]</t>
  </si>
  <si>
    <t>[i2102: ADAV02]</t>
  </si>
  <si>
    <t>[i2103: ADAV03]</t>
  </si>
  <si>
    <t>[i2104: ADAV04]</t>
  </si>
  <si>
    <t>[i2105: ADAV05]</t>
  </si>
  <si>
    <t>[i2106: ADAV06]</t>
  </si>
  <si>
    <t>[i2107: ADAV07]</t>
  </si>
  <si>
    <t>[i2108: ADAV08]</t>
  </si>
  <si>
    <t>[i2109: ADAV09]</t>
  </si>
  <si>
    <t>[i2110: ADAV10]</t>
  </si>
  <si>
    <t>[i2111: ADAV11]</t>
  </si>
  <si>
    <t>[i2112: ADAV12]</t>
  </si>
  <si>
    <t>[i2113: ADAV13]</t>
  </si>
  <si>
    <t>[i2114: ADAV14]</t>
  </si>
  <si>
    <t>[i2115: ADAV15]</t>
  </si>
  <si>
    <t>[i2116: ADAV16]</t>
  </si>
  <si>
    <t>[i2117: ADAV17]</t>
  </si>
  <si>
    <t>[i2118: ADAV18]</t>
  </si>
  <si>
    <t>[i2119: ADAV19]</t>
  </si>
  <si>
    <t>[i2120: ADAV20]</t>
  </si>
  <si>
    <t>[i2121: ADAV21]</t>
  </si>
  <si>
    <t>[i2122: ADAV22]</t>
  </si>
  <si>
    <t>[i2123: ADAV23]</t>
  </si>
  <si>
    <t>[i2124: ADAV24]</t>
  </si>
  <si>
    <t>[i2125: ADAV25]</t>
  </si>
  <si>
    <t>[i2126: ADAV26]</t>
  </si>
  <si>
    <t>[i2127: ADAV27]</t>
  </si>
  <si>
    <t>[i2128: ADAV28]</t>
  </si>
  <si>
    <t>[i2129: ADAV29]</t>
  </si>
  <si>
    <t>[i2130: ADAV30]</t>
  </si>
  <si>
    <t>[i2131: ADAV31]</t>
  </si>
  <si>
    <t>[i2132: ADAV32]</t>
  </si>
  <si>
    <t>[i2133: ADAV33]</t>
  </si>
  <si>
    <t>[i2134: ADAV34]</t>
  </si>
  <si>
    <t>[i2135: ADAV35]</t>
  </si>
  <si>
    <t>[i2136: ADAV36]</t>
  </si>
  <si>
    <t>[i2137: ADAV37]</t>
  </si>
  <si>
    <t>[i2138: ADAV38]</t>
  </si>
  <si>
    <t>[i2139: ADAV39]</t>
  </si>
  <si>
    <t>[i2140: ADAV40]</t>
  </si>
  <si>
    <t>[i2201: ARAVFN]</t>
  </si>
  <si>
    <t>Nombre del Aval o Coacreditado (Apellido y Nombre)</t>
  </si>
  <si>
    <t>App Relation Type 1 Full Name (Last, First)</t>
  </si>
  <si>
    <t>[i2202: ARAVTI]</t>
  </si>
  <si>
    <t>RFC del Aval o Coacreditado</t>
  </si>
  <si>
    <t>App Relation Type 1 Treasury Id</t>
  </si>
  <si>
    <t>[i2203: ARAVBD]</t>
  </si>
  <si>
    <t>Fecha de Nacimiento del Aval o Coacreditado</t>
  </si>
  <si>
    <t>App Relation Type 1 Birth Date</t>
  </si>
  <si>
    <t>[i2204: ARAVBST]</t>
  </si>
  <si>
    <t>Estado de Nacimiento del Aval o Coacreditado</t>
  </si>
  <si>
    <t>App Relation Type 1 State of Birth</t>
  </si>
  <si>
    <t>[i2205: ARAVGN]</t>
  </si>
  <si>
    <t>Genero (Masc, Fem) del Aval o Coacreditado</t>
  </si>
  <si>
    <t>App Relation Type 1 Sex</t>
  </si>
  <si>
    <t>[i2206: ARAVMS]</t>
  </si>
  <si>
    <t>Estado Civil del Aval o Coacreditado</t>
  </si>
  <si>
    <t>App Relation Type 1 Marital Status</t>
  </si>
  <si>
    <t>[i2207: ARAVMR]</t>
  </si>
  <si>
    <t>Regimen Matrimonial del Aval o Coacreditado</t>
  </si>
  <si>
    <t>App Relation Type 1 Marital regime</t>
  </si>
  <si>
    <t>[i2208: ARAVKS]</t>
  </si>
  <si>
    <t>Parentesco del Aval o Coacreditado</t>
  </si>
  <si>
    <t>App Relation Type 1 Kind of relationship</t>
  </si>
  <si>
    <t>[i2209: ARAVED]</t>
  </si>
  <si>
    <t>Nivel de estudios del Aval o Coacreditado</t>
  </si>
  <si>
    <t>App Relation Type 1 Education</t>
  </si>
  <si>
    <t>[i2210: ARAVPHN]</t>
  </si>
  <si>
    <t>Telefono de Casa del Aval o Coacreditado</t>
  </si>
  <si>
    <t>App Relation Type 1 House Phone</t>
  </si>
  <si>
    <t>[i2211: ARAVMB]</t>
  </si>
  <si>
    <t>Telefono Celular del Aval o Coacreditado</t>
  </si>
  <si>
    <t>App Relation Type 1 Mobile Number</t>
  </si>
  <si>
    <t>[i2212: ARAVPS]</t>
  </si>
  <si>
    <t>Puesto u Ocupacion del Aval o Coacreditado</t>
  </si>
  <si>
    <t>App Relation Type 1 Job Position</t>
  </si>
  <si>
    <t>[i2213: ARAVBS]</t>
  </si>
  <si>
    <t>Jefe del Aval o Coacreditado</t>
  </si>
  <si>
    <t>App Relation Type 1 Boss</t>
  </si>
  <si>
    <t>[i2214: ARAVYR]</t>
  </si>
  <si>
    <t>Antiguedad Trabajo del Aval o Coacreditado</t>
  </si>
  <si>
    <t>App Relation Type 1 Years at Job</t>
  </si>
  <si>
    <t>[i2215: ARAVCM]</t>
  </si>
  <si>
    <t>Empresa del Aval o Coacreditado</t>
  </si>
  <si>
    <t>App Relation Type 1 Company</t>
  </si>
  <si>
    <t>[i2216: ARAVCR]</t>
  </si>
  <si>
    <t>Entre Calles del Trabajo del Aval o Coacreditado</t>
  </si>
  <si>
    <t>App Relation Type 1 Job address corner</t>
  </si>
  <si>
    <t>[i2217: ARAVZC]</t>
  </si>
  <si>
    <t>Codigo Postal Trabajo del Aval o Coacreditado</t>
  </si>
  <si>
    <t>App Relation Type 1 Job Zip Code</t>
  </si>
  <si>
    <t>[i2218: ARAVJPN]</t>
  </si>
  <si>
    <t>Telefono Trabajo del Aval o Coacreditado</t>
  </si>
  <si>
    <t>App Relation Type 1 Phone Number</t>
  </si>
  <si>
    <t>[i2219: ARAVPY]</t>
  </si>
  <si>
    <t>Sueldo del Aval o Coacreditado</t>
  </si>
  <si>
    <t>App Relation Type 1 Salary</t>
  </si>
  <si>
    <t>[i2220: ARAVNT]</t>
  </si>
  <si>
    <t>Nacionalidad del Aval o Coacreditado</t>
  </si>
  <si>
    <t>App Relation Type 1 Nationality</t>
  </si>
  <si>
    <t>[i2221: ARAVDP]</t>
  </si>
  <si>
    <t>Dependientes del Aval o Coacreditado</t>
  </si>
  <si>
    <t>App Relation Type 1 Dependents</t>
  </si>
  <si>
    <t>[i2222: ARAVFA]</t>
  </si>
  <si>
    <t>Direccion Domicilio del Aval o Coacreditado</t>
  </si>
  <si>
    <t>App Relation Type 1 House Address</t>
  </si>
  <si>
    <t>[i2223: ARAVSA]</t>
  </si>
  <si>
    <t>Direccion Corta del Aval o Coacreditado</t>
  </si>
  <si>
    <t>App Relation Type 1 Short House Address</t>
  </si>
  <si>
    <t>[i2224: ARAVYA]</t>
  </si>
  <si>
    <t>Antiguedad Domicilio del Aval o Coacreditado</t>
  </si>
  <si>
    <t>App Relation Type 1 Years at Home</t>
  </si>
  <si>
    <t>[i2225: ARAVNG]</t>
  </si>
  <si>
    <t>Colonia Domicilio del Aval o Coacreditado</t>
  </si>
  <si>
    <t>App Relation Type 1 Neighborhood</t>
  </si>
  <si>
    <t>[i2226: ARAVCY]</t>
  </si>
  <si>
    <t>Ciudad Domicilio del Aval o Coacreditado</t>
  </si>
  <si>
    <t>App Relation Type 1 City</t>
  </si>
  <si>
    <t>[i2227: ARAVTW]</t>
  </si>
  <si>
    <t>Localidad Domicilio del Aval o Coacreditado</t>
  </si>
  <si>
    <t>App Relation Type 1 Township</t>
  </si>
  <si>
    <t>[i2228: ARAVST]</t>
  </si>
  <si>
    <t>Estado Domicilio del Aval o Coacreditado</t>
  </si>
  <si>
    <t>App Relation Type 1 State</t>
  </si>
  <si>
    <t>[i2229: ARAVAZC]</t>
  </si>
  <si>
    <t>Codigo Postal Domicilio del Aval o Coacreditado</t>
  </si>
  <si>
    <t>App Relation Type 1 Address Zip Code</t>
  </si>
  <si>
    <t>[i2230: ARAVPTY]</t>
  </si>
  <si>
    <t>Propiedad Domicilio del Aval o Coacreditado</t>
  </si>
  <si>
    <t>App Relation Type 1 House Property</t>
  </si>
  <si>
    <t>[i2231: ARAVJSA]</t>
  </si>
  <si>
    <t>Direccion Corta Trabajo del Aval o Coacreditado</t>
  </si>
  <si>
    <t>App Relation Type 1 Short Job Address</t>
  </si>
  <si>
    <t>[i2232: ARAVJNG]</t>
  </si>
  <si>
    <t>Colonia Trabajo del Aval o Coacreditado</t>
  </si>
  <si>
    <t>App Relation Type 1 Job Neighborhood</t>
  </si>
  <si>
    <t>[i2233: ARAVJCY]</t>
  </si>
  <si>
    <t>Ciudad Trabajo del Aval o Coacreditado</t>
  </si>
  <si>
    <t>App Relation Type 1 Job City</t>
  </si>
  <si>
    <t>[i2234: ARAVJTW]</t>
  </si>
  <si>
    <t>Localidad Trabajo del Aval o Coacreditado</t>
  </si>
  <si>
    <t>App Relation Type 1 Job Township</t>
  </si>
  <si>
    <t>[i2235: ARAVJST]</t>
  </si>
  <si>
    <t>Estado Trabajo del Aval o Coacreditado</t>
  </si>
  <si>
    <t>App Relation Type 1 Job State</t>
  </si>
  <si>
    <t>[i2236: ARAVJEXN]</t>
  </si>
  <si>
    <t>Numero Extension Telefono del Aval o Coacreditado</t>
  </si>
  <si>
    <t>App Relation Type 1 Phone Extension number</t>
  </si>
  <si>
    <t>[i2237: ARAVID]</t>
  </si>
  <si>
    <t>Numero de Identificacion del Aval</t>
  </si>
  <si>
    <t>App Relation Type 1 IdNumber</t>
  </si>
  <si>
    <t>[i2301: ARCOFN]</t>
  </si>
  <si>
    <t>App Relation Type 2 Full Name (Last, First)</t>
  </si>
  <si>
    <t>[i2302: ARCOTI]</t>
  </si>
  <si>
    <t>App Relation Type 2 Treasury Id</t>
  </si>
  <si>
    <t>[i2303: ARCOBD]</t>
  </si>
  <si>
    <t>App Relation Type 2 Birth Date</t>
  </si>
  <si>
    <t>[i2304: ARCOBST]</t>
  </si>
  <si>
    <t>App Relation Type 2 State of Birth</t>
  </si>
  <si>
    <t>[i2305: ARCOGN]</t>
  </si>
  <si>
    <t>App Relation Type 2 Sex</t>
  </si>
  <si>
    <t>[i2306: ARCOMS]</t>
  </si>
  <si>
    <t>App Relation Type 2 Marital Status</t>
  </si>
  <si>
    <t>[i2307: ARCOMR]</t>
  </si>
  <si>
    <t>App Relation Type 2 Marital regime</t>
  </si>
  <si>
    <t>[i2308: ARCOKS]</t>
  </si>
  <si>
    <t>App Relation Type 2 Kind of relationship</t>
  </si>
  <si>
    <t>[i2309: ARCOED]</t>
  </si>
  <si>
    <t>App Relation Type 2 Education</t>
  </si>
  <si>
    <t>[i2310: ARCOPHN]</t>
  </si>
  <si>
    <t>App Relation Type 2 House Phone</t>
  </si>
  <si>
    <t>[i2311: ARCOMB]</t>
  </si>
  <si>
    <t>App Relation Type 2 Mobile Number</t>
  </si>
  <si>
    <t>[i2312: ARCOPS]</t>
  </si>
  <si>
    <t>App Relation Type 2 Job Position</t>
  </si>
  <si>
    <t>[i2313: ARCOBS]</t>
  </si>
  <si>
    <t>App Relation Type 2 Boss</t>
  </si>
  <si>
    <t>[i2314: ARCOYR]</t>
  </si>
  <si>
    <t>App Relation Type 2 Years at Job</t>
  </si>
  <si>
    <t>[i2315: ARCOCM]</t>
  </si>
  <si>
    <t>App Relation Type 2 Company</t>
  </si>
  <si>
    <t>[i2316: ARCOCR]</t>
  </si>
  <si>
    <t>App Relation Type 2 Job address corner</t>
  </si>
  <si>
    <t>[i2317: ARCOZC]</t>
  </si>
  <si>
    <t>App Relation Type 2 Job Zip Code</t>
  </si>
  <si>
    <t>[i2318: ARCOJPN]</t>
  </si>
  <si>
    <t>App Relation Type 2 Phone Number</t>
  </si>
  <si>
    <t>[i2319: ARCOPY]</t>
  </si>
  <si>
    <t>App Relation Type 2 Salary</t>
  </si>
  <si>
    <t>[i2320: ARCONT]</t>
  </si>
  <si>
    <t>App Relation Type 2 Nationality</t>
  </si>
  <si>
    <t>[i2321: ARCODP]</t>
  </si>
  <si>
    <t>App Relation Type 2 Dependents</t>
  </si>
  <si>
    <t>[i2322: ARCOFA]</t>
  </si>
  <si>
    <t>App Relation Type 2 House Address</t>
  </si>
  <si>
    <t>[i2323: ARCOSA]</t>
  </si>
  <si>
    <t>App Relation Type 2 Short House Address</t>
  </si>
  <si>
    <t>[i2324: ARCOYA]</t>
  </si>
  <si>
    <t>App Relation Type 2 Years at Home</t>
  </si>
  <si>
    <t>[i2325: ARCONG]</t>
  </si>
  <si>
    <t>App Relation Type 2 Neighborhood</t>
  </si>
  <si>
    <t>[i2326: ARCOCY]</t>
  </si>
  <si>
    <t>App Relation Type 2 City</t>
  </si>
  <si>
    <t>[i2327: ARCOTW]</t>
  </si>
  <si>
    <t>App Relation Type 2 Township</t>
  </si>
  <si>
    <t>[i2328: ARCOST]</t>
  </si>
  <si>
    <t>App Relation Type 2 State</t>
  </si>
  <si>
    <t>[i2329: ARCOAZC]</t>
  </si>
  <si>
    <t>App Relation Type 2 Address Zip Code</t>
  </si>
  <si>
    <t>[i2330: ARCOPTY]</t>
  </si>
  <si>
    <t>App Relation Type 2 House Property</t>
  </si>
  <si>
    <t>[i2331: ARCOJSA]</t>
  </si>
  <si>
    <t>App Relation Type 2 Short Job Address</t>
  </si>
  <si>
    <t>[i2332: ARCOJNG]</t>
  </si>
  <si>
    <t>App Relation Type 2 Job Neighborhood</t>
  </si>
  <si>
    <t>[i2333: ARCOJCY]</t>
  </si>
  <si>
    <t>App Relation Type 2 Job City</t>
  </si>
  <si>
    <t>[i2334: ARCOJTW]</t>
  </si>
  <si>
    <t>App Relation Type 2 Job Township</t>
  </si>
  <si>
    <t>[i2335: ARCOJST]</t>
  </si>
  <si>
    <t>App Relation Type 2 Job State</t>
  </si>
  <si>
    <t>[i2336: ARCOJEXN]</t>
  </si>
  <si>
    <t>App Relation Type 2 Phone Extension number</t>
  </si>
  <si>
    <t>[i2337: ARAVID]</t>
  </si>
  <si>
    <t>Numero de Cotizacion</t>
  </si>
  <si>
    <t>Quotation Number</t>
  </si>
  <si>
    <t>[i2502: PFNBN]</t>
  </si>
  <si>
    <t>Nombre del Prospecto (Cotizacion)</t>
  </si>
  <si>
    <t>Quotation Customer Name</t>
  </si>
  <si>
    <t>Fecha de Cotizacion</t>
  </si>
  <si>
    <t>Quotation Date</t>
  </si>
  <si>
    <t>Descripcion del financiamiento (Cotizacion)</t>
  </si>
  <si>
    <t>Quotation Financing Descrption</t>
  </si>
  <si>
    <t>[i2505:MARPC]</t>
  </si>
  <si>
    <t>Marca del Producto de Cotizacion</t>
  </si>
  <si>
    <t>Quotation Product Brand</t>
  </si>
  <si>
    <t>[i2506:TIPPC]</t>
  </si>
  <si>
    <t>Tipo de Producto de la Cotizacion</t>
  </si>
  <si>
    <t>Quotation Product Group</t>
  </si>
  <si>
    <t>[i2507:DESPC]</t>
  </si>
  <si>
    <t>Descripcion del Producto de la Cotizacion</t>
  </si>
  <si>
    <t>Quotation Product Description</t>
  </si>
  <si>
    <t>[i2508:PREPC]</t>
  </si>
  <si>
    <t>Precio del Producto de la Cotizacion</t>
  </si>
  <si>
    <t>Quotation Product Price</t>
  </si>
  <si>
    <t>Numero de Pagos (Plazo) de la Cotizacion</t>
  </si>
  <si>
    <t>Quotation Number of Payments</t>
  </si>
  <si>
    <t>Fecha de Vencimiento de la Cotizacion</t>
  </si>
  <si>
    <t>Quotation Expire Date</t>
  </si>
  <si>
    <t>Monto de la Renta o Pago Sin IVA</t>
  </si>
  <si>
    <t>Quotation Payment Amount</t>
  </si>
  <si>
    <t>Monto de la Primera Renta o Pago Sin IVA</t>
  </si>
  <si>
    <t>Quotation First Payment Amount</t>
  </si>
  <si>
    <t>Monto de la Comision Sin IVA</t>
  </si>
  <si>
    <t>Commission Amount</t>
  </si>
  <si>
    <t>Monto de la Renta o Pago en Deposito Sin Iva</t>
  </si>
  <si>
    <t>Quotation Deposit Payment</t>
  </si>
  <si>
    <t>[i200302: MS]</t>
  </si>
  <si>
    <t>Importe del Seguro del Bien Sin IVA</t>
  </si>
  <si>
    <t>FLISING</t>
  </si>
  <si>
    <t>Importe de Verificacion y Gestoria Sin IVA</t>
  </si>
  <si>
    <t>Importe del Deposito en Garantia Sin IVA</t>
  </si>
  <si>
    <t>Pago Inicial Sin IVA</t>
  </si>
  <si>
    <t>[i2520:RESIVA]</t>
  </si>
  <si>
    <t>Importe del valor residual sin IVA</t>
  </si>
  <si>
    <t>Pago Inicial Sin IVA (FirmaKredit) con 3 Rentas</t>
  </si>
  <si>
    <t>[i2530:RESCIVA]</t>
  </si>
  <si>
    <t>Importe del valor residual con IVA</t>
  </si>
  <si>
    <t>[i2531:CUOIVA]</t>
  </si>
  <si>
    <t>Importe de la Cuota o Renta con el IVA incluido.</t>
  </si>
  <si>
    <t>[i2532:PINIIVA]</t>
  </si>
  <si>
    <t>Pago inicial con IVA Incluido (Solo pago 0)</t>
  </si>
  <si>
    <t>[i2533:3PINIIVA]</t>
  </si>
  <si>
    <t>Pago inicial con IVA Incluido (Hasta el pago 3, solo para FK)</t>
  </si>
  <si>
    <t>[i2534:CRE1IVA]</t>
  </si>
  <si>
    <t>Comisión + Renta 1 con IVA incluido</t>
  </si>
  <si>
    <t>[i2535:ACRE1IVA]</t>
  </si>
  <si>
    <t>Anticipo + Comisión + Renta 1 con IVA incluido</t>
  </si>
  <si>
    <t>[i2536:4PINIIVA]</t>
  </si>
  <si>
    <t>Pago inicial con IVA Incluido (Hasta el pago 4, solo para FK)</t>
  </si>
  <si>
    <t>[i2551:PLAM1]</t>
  </si>
  <si>
    <t>Plazo del credito menos 1</t>
  </si>
  <si>
    <t>REFERENCIAS</t>
  </si>
  <si>
    <t>[i3001:NR1]</t>
  </si>
  <si>
    <t>Nombre Referencia 1</t>
  </si>
  <si>
    <t>[i3002:NR2]</t>
  </si>
  <si>
    <t>Nombre Referencia 2</t>
  </si>
  <si>
    <t>[i3003:NR3]</t>
  </si>
  <si>
    <t>Nombre Referencia 3</t>
  </si>
  <si>
    <t>[i3004:NR4]</t>
  </si>
  <si>
    <t>Nombre Referencia 4</t>
  </si>
  <si>
    <t>[i3101:DR1]</t>
  </si>
  <si>
    <t>Domicilio Referencia 1</t>
  </si>
  <si>
    <t>[i3102:DR2]</t>
  </si>
  <si>
    <t>Domicilio Referencia 2</t>
  </si>
  <si>
    <t>[i3103:DR3]</t>
  </si>
  <si>
    <t>Domicilio Referencia 3</t>
  </si>
  <si>
    <t>[i3104:DR4]</t>
  </si>
  <si>
    <t>Domicilio Referencia 4</t>
  </si>
  <si>
    <t>[i3201:TR1]</t>
  </si>
  <si>
    <t>Telefono Referencia 1</t>
  </si>
  <si>
    <t>[i3202:TR2]</t>
  </si>
  <si>
    <t>Telefono Referencia 2</t>
  </si>
  <si>
    <t>[i3203:TR3]</t>
  </si>
  <si>
    <t>Telefono Referencia 3</t>
  </si>
  <si>
    <t>[i3204:TR4]</t>
  </si>
  <si>
    <t>Telefono Referencia 4</t>
  </si>
  <si>
    <t>[i3401:TR1]</t>
  </si>
  <si>
    <t>Parenteso Referencia 1</t>
  </si>
  <si>
    <t>[i3402:TR2]</t>
  </si>
  <si>
    <t>Parenteso Referencia 2</t>
  </si>
  <si>
    <t>[i3403:TR3]</t>
  </si>
  <si>
    <t>Parenteso Referencia 3</t>
  </si>
  <si>
    <t>[i3404:TR4]</t>
  </si>
  <si>
    <t>Parenteso Referencia 4</t>
  </si>
  <si>
    <t>[i3301:AC1]</t>
  </si>
  <si>
    <t>Tiempo de Conocer Referencia 1</t>
  </si>
  <si>
    <t>[i3302:AC2]</t>
  </si>
  <si>
    <t>Tiempo de Conocer Referencia 2</t>
  </si>
  <si>
    <t>[i3303:AC3]</t>
  </si>
  <si>
    <t>Tiempo de Conocer Referencia 3</t>
  </si>
  <si>
    <t>[i3304:AC4]</t>
  </si>
  <si>
    <t>Tiempo de Conocer Referencia 4</t>
  </si>
  <si>
    <t>Id Sucursal Solicitud</t>
  </si>
  <si>
    <t>Descripcion Sucursal Solicitud</t>
  </si>
  <si>
    <t>Id Financiamiento Sucursal</t>
  </si>
  <si>
    <t>Descripcion Financiamiento Solicitud</t>
  </si>
  <si>
    <t>email sucursal</t>
  </si>
  <si>
    <t>celular sucursal</t>
  </si>
  <si>
    <t>REEMBOLSOS (3551 - 3600)</t>
  </si>
  <si>
    <t xml:space="preserve">[i3551:id] </t>
  </si>
  <si>
    <t>Id del Reembolso</t>
  </si>
  <si>
    <t xml:space="preserve">[i3552:monto] </t>
  </si>
  <si>
    <t>Monto del Reembolso</t>
  </si>
  <si>
    <t>[i3553:tipo]</t>
  </si>
  <si>
    <t>Tipo Dispersion</t>
  </si>
  <si>
    <t>[i3554:banco]</t>
  </si>
  <si>
    <t>Banco del Reembolso</t>
  </si>
  <si>
    <t>[i3555:referencia]</t>
  </si>
  <si>
    <t>Rerefencia del Reembolso</t>
  </si>
  <si>
    <t>[i3556:clabe]</t>
  </si>
  <si>
    <t>clabe</t>
  </si>
  <si>
    <t>[i3557:clabe4]</t>
  </si>
  <si>
    <t>ultimos 4 digitos de la clabe</t>
  </si>
  <si>
    <t>[i3558:motdes]</t>
  </si>
  <si>
    <t>Motivo de reembolso (descripcion)</t>
  </si>
  <si>
    <t>[i3559:fehoest]</t>
  </si>
  <si>
    <t>Fecha/Hora estatus</t>
  </si>
  <si>
    <t>[i3560:ultcom]</t>
  </si>
  <si>
    <t>Ultimo comentario</t>
  </si>
  <si>
    <t>[i3561:respon]</t>
  </si>
  <si>
    <t>Usuario estatus 7</t>
  </si>
  <si>
    <t xml:space="preserve"> </t>
  </si>
  <si>
    <t>REFINANCIAMIENTOS</t>
  </si>
  <si>
    <t>[i4001: CREREF]</t>
  </si>
  <si>
    <t>Id crédito número 1 a Refinanciar</t>
  </si>
  <si>
    <t>[i4002: CREREF]</t>
  </si>
  <si>
    <t>Id crédito número 2 a Refinanciar</t>
  </si>
  <si>
    <t>[i4801:PLAZOR]</t>
  </si>
  <si>
    <t>Plazo del crédito número 1 a Refinanciar</t>
  </si>
  <si>
    <t>[i4802:PLAZOR]</t>
  </si>
  <si>
    <t>Plazo del crédito número 2 a Refinanciar</t>
  </si>
  <si>
    <t>[i4601:MONOR]</t>
  </si>
  <si>
    <t>Importe original del crédito 1 a Refinanciar</t>
  </si>
  <si>
    <t>[i4602:MONOR]</t>
  </si>
  <si>
    <t>Importe original del crédito 2 a Refinanciar</t>
  </si>
  <si>
    <t xml:space="preserve">[i4701:MONORTEXT] </t>
  </si>
  <si>
    <t>Importe original del crédito 1 a Refinanciar (Letra)</t>
  </si>
  <si>
    <t xml:space="preserve">[i4702:MONORTEXT] </t>
  </si>
  <si>
    <t>Importe original del crédito 2 a Refinanciar (Letra)</t>
  </si>
  <si>
    <t>[i4101:LIQREF]</t>
  </si>
  <si>
    <t>Fecha de apertura del crédito número 1 a Refinanciar</t>
  </si>
  <si>
    <t>[i4102:LIQREF]</t>
  </si>
  <si>
    <t>Fecha de apertura del crédito número 2 a Refinanciar</t>
  </si>
  <si>
    <t>[i4041:REFLIQ]</t>
  </si>
  <si>
    <t>Importe Total a liquidar</t>
  </si>
  <si>
    <t xml:space="preserve">[i4042:REFLIQTEX] </t>
  </si>
  <si>
    <t>Importe Total a liquidar (Letra)</t>
  </si>
  <si>
    <t>[i4043: IMPDEP]</t>
  </si>
  <si>
    <t>Monto a   liquidar aplicando el Refinanciamiento</t>
  </si>
  <si>
    <t xml:space="preserve">[i4044: IMPDEPTEXT] </t>
  </si>
  <si>
    <t>Monto a liquidar aplicando el Refinanciamiento (Letra)</t>
  </si>
  <si>
    <t>Importe del nuevo crédito que proviene de un refinanciamiento</t>
  </si>
  <si>
    <t>Importe del nuevo crédito que proviene de un refinanciamiento - Texto</t>
  </si>
  <si>
    <t>[5000: Sldex]</t>
  </si>
  <si>
    <t>Saldo Exigible a la Fecha</t>
  </si>
  <si>
    <t>[i5501: CredBal]</t>
  </si>
  <si>
    <t>Saldo del crédito a liquidar incluyendo pagos en tránsito</t>
  </si>
  <si>
    <t>[i5502: CredLiq]</t>
  </si>
  <si>
    <t>Saldo a liquidar  -- cast(dbo.fufCreditValue(@vUserId,23, @iCreditId, @fLastPayment,@fDate) as varchar</t>
  </si>
  <si>
    <t>[i5503: PayTrans]</t>
  </si>
  <si>
    <t>Numero de pagos en transito</t>
  </si>
  <si>
    <t>[i5504: PayCollList]</t>
  </si>
  <si>
    <t>Numero de pagos en listas de cobro</t>
  </si>
  <si>
    <t>[i5505: CredfNextPay]</t>
  </si>
  <si>
    <t>Fecha limite de pago que aparece en el estado de cuenta</t>
  </si>
  <si>
    <t>[i5506: LastDateCollList]</t>
  </si>
  <si>
    <t>Ultima fecha lista de cobro con pago en Transito</t>
  </si>
  <si>
    <t>[i5507: LastCycleCollList]</t>
  </si>
  <si>
    <t xml:space="preserve">Ultima fecha lista de cobro Numero de ciclo y año [QQAAAA]: </t>
  </si>
  <si>
    <t>[i5508: BankBranding]</t>
  </si>
  <si>
    <t>Banco en donde se va a realizar el pago de liquicacion</t>
  </si>
  <si>
    <t>[i5509: AccountBranding]</t>
  </si>
  <si>
    <t>Cuenta a donde se va a realizar el depósito de liquidacion</t>
  </si>
  <si>
    <t>[i5510: ClabeBranding]</t>
  </si>
  <si>
    <t>Cuenta CLABE a donde se va a realizar el depósito de liquidacion</t>
  </si>
  <si>
    <t>[i5511: AmountTrans]</t>
  </si>
  <si>
    <t>Importe del total de pagos en transito</t>
  </si>
  <si>
    <t>[i5514: FSIST2]</t>
  </si>
  <si>
    <t>Fecha sistema + 2 días hábiles</t>
  </si>
  <si>
    <t>[i5515:TotPay]</t>
  </si>
  <si>
    <t>Importe del total de pagos hasta la fecha en numero</t>
  </si>
  <si>
    <t>[i5516:TotPayLet]</t>
  </si>
  <si>
    <t>Importe del total de pagos hasta la fecha con letras</t>
  </si>
  <si>
    <t>[i5517:LPAY]</t>
  </si>
  <si>
    <t>Importe del Ultimo Pago</t>
  </si>
  <si>
    <t>[i5518:LPAYLET]</t>
  </si>
  <si>
    <t>Importe del Ultimo Pago con letras</t>
  </si>
  <si>
    <t>[i3505:DISPO]</t>
  </si>
  <si>
    <t xml:space="preserve">Monto a dispersar aplicando el refinancamiento </t>
  </si>
  <si>
    <t>[i3506:DISPO]</t>
  </si>
  <si>
    <t>Monto a dispersar aplicando el refinancamiento (letra)</t>
  </si>
  <si>
    <t>[i6006:PPId]</t>
  </si>
  <si>
    <t>Numero de Pagos Efectuados</t>
  </si>
  <si>
    <t>Importe de Pagos Efectuados</t>
  </si>
  <si>
    <t>[i6008:PPId]</t>
  </si>
  <si>
    <t xml:space="preserve">Folio de la Ultima promesa de pago vigente de un crédito </t>
  </si>
  <si>
    <t>[i6009:PPUser]</t>
  </si>
  <si>
    <t xml:space="preserve">Usuario de creación de la ultima promesa de pago vigente de un crédito </t>
  </si>
  <si>
    <t>[i6010:PPUsNa]</t>
  </si>
  <si>
    <t xml:space="preserve">Nombre del Usuario de creación de la ultima promesa de pago vigente de un crédito </t>
  </si>
  <si>
    <t>[i6011:PPDate]</t>
  </si>
  <si>
    <t xml:space="preserve">Fecha Limite de pago de la ultima promesa de pago  vigente de un cliente en FORMATO LARGO de fecha </t>
  </si>
  <si>
    <t>[i6012:PPAmo]</t>
  </si>
  <si>
    <t xml:space="preserve">Importe a pagar de la Ultima promesa de pago  vigente de un crédito </t>
  </si>
  <si>
    <t>[i6013:PPSuAm]</t>
  </si>
  <si>
    <t xml:space="preserve">Importe a pagar de la Suma de las promesas de pago vigentes  de un crédito </t>
  </si>
  <si>
    <t>[i6014:PaAm]</t>
  </si>
  <si>
    <t>Importe total pagado de un credito</t>
  </si>
  <si>
    <t>[i6015:SaMLi]</t>
  </si>
  <si>
    <t>Saldo Total - Importe de las Listas</t>
  </si>
  <si>
    <t>[i6016:TaMo]</t>
  </si>
  <si>
    <t>Tasa de intereses moratorios</t>
  </si>
  <si>
    <t>[i6017:TotConCom]</t>
  </si>
  <si>
    <t>Total del credito incluyendo comision apertura</t>
  </si>
  <si>
    <t>[i6018:ClaRas]</t>
  </si>
  <si>
    <t>Clave de Rastreo STP</t>
  </si>
  <si>
    <t>[i6019:Ult4CLABE]</t>
  </si>
  <si>
    <t>Ultimos 4 digitos CLABE solicitud</t>
  </si>
  <si>
    <t>[i6020:errorSTP]</t>
  </si>
  <si>
    <t>Error STP</t>
  </si>
  <si>
    <t>[i6021:depPER]</t>
  </si>
  <si>
    <t>Ultima dependencia (convenio) del crédito</t>
  </si>
  <si>
    <t>[i6022:LYCNL]</t>
  </si>
  <si>
    <t>Leyenda crédito no liquidado</t>
  </si>
  <si>
    <t>[i6023:CACL]</t>
  </si>
  <si>
    <t>Firma electrónica</t>
  </si>
  <si>
    <t>[i6024: FSIST2]</t>
  </si>
  <si>
    <t>Fecha sistema + 5 días hábiles  (se suman 5 días a la fecha de hoy y después se obtiene el día hábil siguiente)</t>
  </si>
  <si>
    <t>[i6025: MGL]</t>
  </si>
  <si>
    <t>Monto de la garantía líquida</t>
  </si>
  <si>
    <t>[i6026: SGL]</t>
  </si>
  <si>
    <t>Saldo de la garantía líquida</t>
  </si>
  <si>
    <t>[i6027: NombreBranding]</t>
  </si>
  <si>
    <t>nombre de marca</t>
  </si>
  <si>
    <t>[i6028: LimiteBranding]</t>
  </si>
  <si>
    <t>mensaje de limite</t>
  </si>
  <si>
    <t>[i6029: LiquidaBranding]</t>
  </si>
  <si>
    <t>mensaje de liquidacion</t>
  </si>
  <si>
    <t>[i6030: Dom1Branding]</t>
  </si>
  <si>
    <t>domicilio 1</t>
  </si>
  <si>
    <t>[i6031: Dom2Branding]</t>
  </si>
  <si>
    <t>domicilio 2</t>
  </si>
  <si>
    <t>[i6032: Dom3Branding]</t>
  </si>
  <si>
    <t>domicilio 3</t>
  </si>
  <si>
    <t>[i6033: Dom4Branding]</t>
  </si>
  <si>
    <t>domicilio 4</t>
  </si>
  <si>
    <t>[i6034: DomBranding]</t>
  </si>
  <si>
    <t>domicilio completo</t>
  </si>
  <si>
    <t>[i6035: PagoBranding]</t>
  </si>
  <si>
    <t>mensaje de pago</t>
  </si>
  <si>
    <t>[i6036: Aten1Branding]</t>
  </si>
  <si>
    <t>mensaje de atencion 1</t>
  </si>
  <si>
    <t>[i6037: Aten2Branding]</t>
  </si>
  <si>
    <t>mensaje de atencion 2</t>
  </si>
  <si>
    <t>[i6038: Aten3Branding]</t>
  </si>
  <si>
    <t>mensaje de atencion 3</t>
  </si>
  <si>
    <t>[i6039: Aten4Branding]</t>
  </si>
  <si>
    <t>mensaje de atencion 4</t>
  </si>
  <si>
    <t>[i6040: Aten5Branding]</t>
  </si>
  <si>
    <t>mensaje de atencion 5</t>
  </si>
  <si>
    <t>[i6041: Aten6Branding]</t>
  </si>
  <si>
    <t>mensaje de atencion 6</t>
  </si>
  <si>
    <t>[i6042: Aten7Branding]</t>
  </si>
  <si>
    <t>mensaje de atencion 7</t>
  </si>
  <si>
    <t>[i6043: AtenBranding]</t>
  </si>
  <si>
    <t>mensaje de atencion completo</t>
  </si>
  <si>
    <t>[i6044: Inf1Branding]</t>
  </si>
  <si>
    <t>mensaje inferior 1</t>
  </si>
  <si>
    <t>[i6045: Inf2Branding]</t>
  </si>
  <si>
    <t>mensaje inferior 2</t>
  </si>
  <si>
    <t>[i6046: Inf3Branding]</t>
  </si>
  <si>
    <t>mensaje inferior 3</t>
  </si>
  <si>
    <t>[i6047: Inf4Branding]</t>
  </si>
  <si>
    <t>mensaje inferior 4</t>
  </si>
  <si>
    <t>[i6048: Inf5Branding]</t>
  </si>
  <si>
    <t>mensaje inferior 5</t>
  </si>
  <si>
    <t>[i6049: InfBranding]</t>
  </si>
  <si>
    <t>mensaje inferior completo</t>
  </si>
  <si>
    <t>[i6050: Abr1Branding]</t>
  </si>
  <si>
    <t>mensaje de abreviacion 1</t>
  </si>
  <si>
    <t>[i6051: Abr2Branding]</t>
  </si>
  <si>
    <t>mensaje de abreviacion 2</t>
  </si>
  <si>
    <t>[i6052: Abr3Branding]</t>
  </si>
  <si>
    <t>mensaje de abreviacion 3</t>
  </si>
  <si>
    <t>[i6053: Abr4Branding]</t>
  </si>
  <si>
    <t>mensaje de abreviacion 4</t>
  </si>
  <si>
    <t>[i6054: Abr5Branding]</t>
  </si>
  <si>
    <t>mensaje de abreviacion 5</t>
  </si>
  <si>
    <t>[i6055: AbrBranding]</t>
  </si>
  <si>
    <t>mensaje de abreviacion completo</t>
  </si>
  <si>
    <t>[i6056: ScLogoBranding]</t>
  </si>
  <si>
    <t>logo de pantalla</t>
  </si>
  <si>
    <t>[i6057: StLogoBranding]</t>
  </si>
  <si>
    <t>logo de estado de cuenta</t>
  </si>
  <si>
    <t>[i6058: TrLogoBranding]</t>
  </si>
  <si>
    <t>logo de rfc de estado de cuenta</t>
  </si>
  <si>
    <t>8001 a 8365</t>
  </si>
  <si>
    <t>Fecha sistema +  días naturales indicados en los ultimos 3 dígitos</t>
  </si>
  <si>
    <t xml:space="preserve">Unicredix </t>
  </si>
  <si>
    <t>[i6060: TPIPa]</t>
  </si>
  <si>
    <t>Total a pagar Teorico (IMSS Paritaria)</t>
  </si>
  <si>
    <t>[i6061: SPIPa]</t>
  </si>
  <si>
    <t>Saldo a pagar Teorico (IMSS Paritaria)</t>
  </si>
  <si>
    <t>[i6062: FSIST7]</t>
  </si>
  <si>
    <t>Fecha sistema + 7 días hábiles</t>
  </si>
  <si>
    <t>[i6063: COM13]</t>
  </si>
  <si>
    <t>Comision composicion 13 - ALF</t>
  </si>
  <si>
    <t>[i6064: COM13Tex]</t>
  </si>
  <si>
    <t>Comision composicion 13 - ALF / texto</t>
  </si>
  <si>
    <t>[i6065: PLDPEP]</t>
  </si>
  <si>
    <t>Si es PEP (0 no / 1 si)</t>
  </si>
  <si>
    <t>[i6066: AFZOCO]</t>
  </si>
  <si>
    <t>Zona de Codigo del Afiliado / Convenio</t>
  </si>
  <si>
    <t>[i6101:ASK]</t>
  </si>
  <si>
    <t>Saldo Capital ($) *</t>
  </si>
  <si>
    <t>[i6102:ASI]</t>
  </si>
  <si>
    <t>Saldo de Intereses ($) *</t>
  </si>
  <si>
    <t>[i6103:ASIM]</t>
  </si>
  <si>
    <t>[i6104:ASC4]</t>
  </si>
  <si>
    <t>Saldo de Comisión por Apertura (Composición 4) ($</t>
  </si>
  <si>
    <t>[i6105:ASC5]</t>
  </si>
  <si>
    <t>Saldo de Administración línea (Composición 5) ($)</t>
  </si>
  <si>
    <t>[i6106:ASC6]</t>
  </si>
  <si>
    <t>Saldo de Gastos de Cobranza (Composición 6) ($)</t>
  </si>
  <si>
    <t>[i6107:ASC3]</t>
  </si>
  <si>
    <t>Saldo de Comisión Fallecimiento (Composición 3) ($)</t>
  </si>
  <si>
    <t>[i6108:ASC8]</t>
  </si>
  <si>
    <t>Saldo de Comisión Sobre no dispuesto (Composición 8) ($)</t>
  </si>
  <si>
    <t>[i6109:ASC9]</t>
  </si>
  <si>
    <t>Saldo de Comisión por Liquidación (Composición 9) ($)</t>
  </si>
  <si>
    <t>[i6110:ASC10]</t>
  </si>
  <si>
    <t>Saldo de Comisión por Servicio (Composición 10) ($)</t>
  </si>
  <si>
    <t>[i6111:ASC11]</t>
  </si>
  <si>
    <t>Saldo de Comisión por pago Anticipado (Composición 11) ($)</t>
  </si>
  <si>
    <t>[i6120:AST]</t>
  </si>
  <si>
    <t>Subtotal ($)</t>
  </si>
  <si>
    <t>[i6121:APCI]</t>
  </si>
  <si>
    <t>% Condonado de Interés Ordinarios</t>
  </si>
  <si>
    <t>[i6122:APCM]</t>
  </si>
  <si>
    <t>% Condonado de Interés Moratorios</t>
  </si>
  <si>
    <t>[i6141:AMCI]</t>
  </si>
  <si>
    <t>Importe de Intereses Condonados ($)</t>
  </si>
  <si>
    <t>[i6142:AMCI]</t>
  </si>
  <si>
    <t>Importe de Moratorios Condonados ($)</t>
  </si>
  <si>
    <t xml:space="preserve">[i6161:AFP] </t>
  </si>
  <si>
    <t>Fecha de Promesa de Pago</t>
  </si>
  <si>
    <t>[i6162:AMT]</t>
  </si>
  <si>
    <t>Monto de Promesa de Pago</t>
  </si>
  <si>
    <t>[i6163:AFH]</t>
  </si>
  <si>
    <t xml:space="preserve">Fecha y Hora del Acuerdo </t>
  </si>
  <si>
    <t>[i6164:ASDT]</t>
  </si>
  <si>
    <t>Saldo del Crédito, después de Pagos en Tránsito ($)</t>
  </si>
  <si>
    <t>[i6200:APPT]</t>
  </si>
  <si>
    <t>Titulo de una solicitud</t>
  </si>
  <si>
    <t>6201-6300 Variables para Analisis Buro / Circulo</t>
  </si>
  <si>
    <t>MOP 99</t>
  </si>
  <si>
    <t>0: No existe
               1: Si existe
               2: No se tiene reporte de buró / circulo</t>
  </si>
  <si>
    <t>Fraude K0 J0 E2 F7</t>
  </si>
  <si>
    <t>FICO Score</t>
  </si>
  <si>
    <t>###</t>
  </si>
  <si>
    <t>MOP Cuentas Activas</t>
  </si>
  <si>
    <t>1: Existen cuentas con MOP &gt;= 4</t>
  </si>
  <si>
    <t xml:space="preserve">               2: Existen cuentas con MOP entre 2 y 3</t>
  </si>
  <si>
    <t xml:space="preserve">               3: Existen cuentas con MOP &lt;= 1</t>
  </si>
  <si>
    <t xml:space="preserve">               4: No se tiene reporte de buró / circulo</t>
  </si>
  <si>
    <t>Promesa de Pago 1</t>
  </si>
  <si>
    <t>Fecha en que se registra la promesa</t>
  </si>
  <si>
    <t>Fecha de pago de la promesa</t>
  </si>
  <si>
    <t>Monto de la promesa</t>
  </si>
  <si>
    <t>Estatus de la promesa</t>
  </si>
  <si>
    <t>Promesa de Pago 2</t>
  </si>
  <si>
    <t>Promesa de Pago 3</t>
  </si>
  <si>
    <t>Promesa de Pago 4</t>
  </si>
  <si>
    <t>Promesa de Pago 5</t>
  </si>
  <si>
    <t>[i6350:SGNID]</t>
  </si>
  <si>
    <t>Identificador del proceso</t>
  </si>
  <si>
    <t>[i6351:SGNPIN]</t>
  </si>
  <si>
    <t>PIN de 6 digitos</t>
  </si>
  <si>
    <t>[i6352:SCOEXP]</t>
  </si>
  <si>
    <t>Score de exposición de riesgo (extRisk - CFA)</t>
  </si>
  <si>
    <t>Gupales (6353-6369)</t>
  </si>
  <si>
    <t>[i6353:DSCBRC]</t>
  </si>
  <si>
    <t>Descripción de la sucursal del grupo</t>
  </si>
  <si>
    <t>[i6354:DSCCD]</t>
  </si>
  <si>
    <t>Descripción de la ciudad del grupo</t>
  </si>
  <si>
    <t>[i6355:FDIS]</t>
  </si>
  <si>
    <t>Fecha de dispersión</t>
  </si>
  <si>
    <t>[i6356:REFGRP]</t>
  </si>
  <si>
    <t>Referencia</t>
  </si>
  <si>
    <t>[i6370:IDMON]</t>
  </si>
  <si>
    <t>Id moneda (solicitud o crédito)</t>
  </si>
  <si>
    <t>[i6371:CIED]</t>
  </si>
  <si>
    <t>Refencia de pago DXN</t>
  </si>
  <si>
    <t>[i6372:DESMOT]</t>
  </si>
  <si>
    <t>Clave y Descripción de Motivos de una Solicitud (1356 - todos los motivos)</t>
  </si>
  <si>
    <t>[i6374:DP]</t>
  </si>
  <si>
    <t>Dia(s) de pago (ej. Viernes de Cada Semana // 1 y 16 de cada Mes // etc) UPT</t>
  </si>
  <si>
    <t>[i6375:PRFC]</t>
  </si>
  <si>
    <t>País donde se registró el RFC</t>
  </si>
  <si>
    <t>[i6376:PCURP]</t>
  </si>
  <si>
    <t>País donde se registró el CURP</t>
  </si>
  <si>
    <t>[i6377:FIEL]</t>
  </si>
  <si>
    <t>FIEL</t>
  </si>
  <si>
    <t>[i6378:PFIEL]</t>
  </si>
  <si>
    <t>País donde se registró la FIEL</t>
  </si>
  <si>
    <t>[i6379:ENPLD]</t>
  </si>
  <si>
    <t>Veces cliente en listas de PLD - Cerradas</t>
  </si>
  <si>
    <t>[i6380:CPE]</t>
  </si>
  <si>
    <t>Cliente con pagos en efectivo</t>
  </si>
  <si>
    <t>[i6381:ACM]</t>
  </si>
  <si>
    <t>Antigüedad del cliente en meses (F. Apertura)</t>
  </si>
  <si>
    <t>[i6382:RNCO]</t>
  </si>
  <si>
    <t>Valor numerico del riesgo de una empresa</t>
  </si>
  <si>
    <t>[i6383:CLCA]</t>
  </si>
  <si>
    <t>Clase cartera (agrupador por tipo de financiamiento)</t>
  </si>
  <si>
    <t>[i6384:CAD]</t>
  </si>
  <si>
    <t>CAD: Contrato Adhesión CRZ</t>
  </si>
  <si>
    <t>[i6385:NCV]</t>
  </si>
  <si>
    <t>NCV: No Cuotas Vencidas</t>
  </si>
  <si>
    <t>[i6386:SCP]</t>
  </si>
  <si>
    <t>SCP: Siguiente Cuotas Por Pagar de Plazo</t>
  </si>
  <si>
    <t>[i6387:DMM]</t>
  </si>
  <si>
    <t>Id Destino de Mayor Monto</t>
  </si>
  <si>
    <t>[i6388:TIM]</t>
  </si>
  <si>
    <t>Tasa de interes mensual a 3 decimales</t>
  </si>
  <si>
    <t>[i6389:TIML]</t>
  </si>
  <si>
    <t>Tasa de interes mensual a 3 decimales - Letras</t>
  </si>
  <si>
    <t>6390 and 6399 -- tz15876</t>
  </si>
  <si>
    <t>[i6400: CredLiqLet]</t>
  </si>
  <si>
    <t>Saldo a liquidar  (Texto) : 5502</t>
  </si>
  <si>
    <t>Días de Inactividad</t>
  </si>
  <si>
    <t>Amortizaciones Pagadas</t>
  </si>
  <si>
    <t>Porcentaje de Amortizaciones cubiertas (Amortizaciones Completas Pagadas / Plazo)</t>
  </si>
  <si>
    <t>Nombre Oficial: parametro de configuración (35) en Convenios</t>
  </si>
  <si>
    <t>Nombre Comercial: parametro de configuración (35) en Convenios</t>
  </si>
  <si>
    <t>Id Afiliado del Credito</t>
  </si>
  <si>
    <t>Dias Fin Credito (Ultima amortizacion - Hoy)</t>
  </si>
  <si>
    <t>Dias transcurridos credito (Hoy - Fecha Apertura)</t>
  </si>
  <si>
    <t>Gracia (en una solicitud) - tz18467</t>
  </si>
  <si>
    <t>Fecha de segundo pago de la amortización de un credito - tz18467</t>
  </si>
  <si>
    <t>suma de liquidacion RST + pago a terceros (proveedores)</t>
  </si>
  <si>
    <t>suma de liquidacion RST + pago a terceros (proveedores) letras</t>
  </si>
  <si>
    <t>ultimo comentario</t>
  </si>
  <si>
    <t>id tracking</t>
  </si>
  <si>
    <t>fecha de liquidación (seleccionada en proceso)</t>
  </si>
  <si>
    <t>monto a liquidar</t>
  </si>
  <si>
    <t>referencia CIE 62</t>
  </si>
  <si>
    <t>fecha ultima lista en transito o aplicada (tz 19622)</t>
  </si>
  <si>
    <t>id cesion</t>
  </si>
  <si>
    <t>numero de cesion</t>
  </si>
  <si>
    <t>7001-7099</t>
  </si>
  <si>
    <t>nombre del proveedor por concepto (hasta el concepto 99)  tz4051</t>
  </si>
  <si>
    <t>PAGO A TERCEROS (hasta 4)</t>
  </si>
  <si>
    <t>[i7500:Provider]</t>
  </si>
  <si>
    <t>nombre del proveedor (untDisposition)</t>
  </si>
  <si>
    <t>[i7501:Referencia]</t>
  </si>
  <si>
    <t>referencia (untDisposition)</t>
  </si>
  <si>
    <t>[i7502:Monto]</t>
  </si>
  <si>
    <t>monto a pagar a proveedor</t>
  </si>
  <si>
    <t>[i7503:Montoletra]</t>
  </si>
  <si>
    <t>monto a pagar a proveedor letras</t>
  </si>
  <si>
    <t>[i7510:Provider]</t>
  </si>
  <si>
    <t>[i7511:Referencia]</t>
  </si>
  <si>
    <t>[i7512:Monto]</t>
  </si>
  <si>
    <t>[i7513:Montoletra]</t>
  </si>
  <si>
    <t>[i7520:Provider]</t>
  </si>
  <si>
    <t>[i7521:referencia]</t>
  </si>
  <si>
    <t>[i7522:monto]</t>
  </si>
  <si>
    <t>[i7523:montoletra]</t>
  </si>
  <si>
    <t>[i7530:Provider]</t>
  </si>
  <si>
    <t>[i7531:referencia]</t>
  </si>
  <si>
    <t>[i7532:monto]</t>
  </si>
  <si>
    <t>[i7532:montoletra]</t>
  </si>
  <si>
    <t>suma de montos de pagos a terceros</t>
  </si>
  <si>
    <t>suma de montos de pagos a terceros letras</t>
  </si>
  <si>
    <t>dias de atraso considerando transito tz 18867</t>
  </si>
  <si>
    <t>[i7554:]</t>
  </si>
  <si>
    <t xml:space="preserve">Ciclo Nomina/ Año con formato QQ/AA de una lista de cobro </t>
  </si>
  <si>
    <t>[i7555:]</t>
  </si>
  <si>
    <t xml:space="preserve">Fecha de Pago/Descuento cliente con formato DD/MM/AA de una lista </t>
  </si>
  <si>
    <t>[i7652: PID]</t>
  </si>
  <si>
    <t>Cuotas cubiertas para cartas de liquidación formato # pagos de # ejemplo: 32 pagos de 72</t>
  </si>
  <si>
    <t>RFC Empleo / Trabajo</t>
  </si>
  <si>
    <t>[i166:CL]</t>
  </si>
  <si>
    <t>Calle Empleo / Trabajo</t>
  </si>
  <si>
    <t>Número Exterior Empleo / Trabajo</t>
  </si>
  <si>
    <t>Número Interior Empleo / Trabajo</t>
  </si>
  <si>
    <t>[i174:CD]</t>
  </si>
  <si>
    <t>Ciudad o Población Empleo / Trabajo</t>
  </si>
  <si>
    <t>[i149:EF]</t>
  </si>
  <si>
    <t>Entidad Federativa Empleo / Trabajo</t>
  </si>
  <si>
    <t>[i7770:]</t>
  </si>
  <si>
    <t>Fecha vencimiento de la primera cuota que no sea una extensión (prorroga)</t>
  </si>
  <si>
    <t>OTROS DOMICILIOS</t>
  </si>
  <si>
    <t>la estructura es 5 + etiqueta de tipo de domicilio (2 caracteres) + dato de domicilio. Ej. si quiera la calle del domicilio de cobranza será la etiqueta 503205 - agrego comentario al excel de etiquetas.</t>
  </si>
  <si>
    <t>INFORMACiÓN DE OTROS CONCEPTOS (hasta 99 conceptos 99 variables 200101 and 209999 )</t>
  </si>
  <si>
    <t>la estructura es 20 + 2 caracteres para el concepto (ej. 01 Capital) + 2 caracteres para el dato que se quiere (ej. 01 Etiqueta de Concepto)</t>
  </si>
  <si>
    <t>01</t>
  </si>
  <si>
    <t>[i20+concepto+01:EtiCon]</t>
  </si>
  <si>
    <t>etiqueta del concepto</t>
  </si>
  <si>
    <t>02</t>
  </si>
  <si>
    <t>[i20+concepto+02:MonCon]</t>
  </si>
  <si>
    <t>monto</t>
  </si>
  <si>
    <t>[i7712:ProcessLogId]</t>
  </si>
  <si>
    <t>Process Log ID</t>
  </si>
  <si>
    <t>(UCX - tz24152)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</si>
</sst>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scheme val="minor"/>
    </font>
    <font>
      <sz val="11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1F1F1F"/>
      <name val="Times New Roman"/>
    </font>
    <font>
      <sz val="10"/>
      <color rgb="FF000000"/>
      <name val="Times New Roman"/>
    </font>
    <font>
      <sz val="11"/>
      <color rgb="FF222222"/>
      <name val="Arial"/>
    </font>
    <font>
      <sz val="10"/>
      <color rgb="FF000000"/>
      <name val="Arimo"/>
    </font>
    <font>
      <sz val="10"/>
      <color rgb="FF2F5496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548DD4"/>
        <bgColor rgb="FF548DD4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theme="7"/>
        <bgColor theme="7"/>
      </patternFill>
    </fill>
    <fill>
      <patternFill patternType="solid">
        <fgColor rgb="FF8EAADB"/>
        <bgColor rgb="FF8EAADB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4" borderId="2" xfId="0" applyFont="1" applyFill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5" borderId="9" xfId="0" applyFont="1" applyFill="1" applyBorder="1"/>
    <xf numFmtId="0" fontId="4" fillId="5" borderId="9" xfId="0" applyFont="1" applyFill="1" applyBorder="1"/>
    <xf numFmtId="0" fontId="2" fillId="6" borderId="9" xfId="0" applyFont="1" applyFill="1" applyBorder="1"/>
    <xf numFmtId="0" fontId="4" fillId="6" borderId="9" xfId="0" applyFont="1" applyFill="1" applyBorder="1"/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/>
    <xf numFmtId="0" fontId="4" fillId="0" borderId="4" xfId="0" applyFont="1" applyBorder="1"/>
    <xf numFmtId="0" fontId="2" fillId="7" borderId="9" xfId="0" applyFont="1" applyFill="1" applyBorder="1"/>
    <xf numFmtId="0" fontId="4" fillId="7" borderId="9" xfId="0" applyFont="1" applyFill="1" applyBorder="1"/>
    <xf numFmtId="0" fontId="2" fillId="5" borderId="9" xfId="0" applyFont="1" applyFill="1" applyBorder="1" applyAlignment="1">
      <alignment horizontal="center"/>
    </xf>
    <xf numFmtId="0" fontId="2" fillId="8" borderId="9" xfId="0" applyFont="1" applyFill="1" applyBorder="1"/>
    <xf numFmtId="0" fontId="2" fillId="8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9" borderId="9" xfId="0" applyFont="1" applyFill="1" applyBorder="1"/>
    <xf numFmtId="0" fontId="4" fillId="9" borderId="9" xfId="0" applyFont="1" applyFill="1" applyBorder="1"/>
    <xf numFmtId="0" fontId="2" fillId="9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10" borderId="9" xfId="0" applyFont="1" applyFill="1" applyBorder="1"/>
    <xf numFmtId="0" fontId="4" fillId="10" borderId="9" xfId="0" applyFont="1" applyFill="1" applyBorder="1"/>
    <xf numFmtId="0" fontId="2" fillId="10" borderId="9" xfId="0" applyFont="1" applyFill="1" applyBorder="1" applyAlignment="1">
      <alignment horizontal="center"/>
    </xf>
    <xf numFmtId="0" fontId="4" fillId="0" borderId="0" xfId="0" applyFont="1"/>
    <xf numFmtId="0" fontId="5" fillId="11" borderId="10" xfId="0" applyFont="1" applyFill="1" applyBorder="1"/>
    <xf numFmtId="0" fontId="2" fillId="7" borderId="10" xfId="0" applyFont="1" applyFill="1" applyBorder="1"/>
    <xf numFmtId="0" fontId="4" fillId="4" borderId="9" xfId="0" applyFont="1" applyFill="1" applyBorder="1"/>
    <xf numFmtId="0" fontId="2" fillId="0" borderId="0" xfId="0" applyFont="1" applyAlignment="1">
      <alignment horizontal="left"/>
    </xf>
    <xf numFmtId="0" fontId="4" fillId="4" borderId="11" xfId="0" applyFont="1" applyFill="1" applyBorder="1"/>
    <xf numFmtId="0" fontId="2" fillId="0" borderId="4" xfId="0" applyFont="1" applyBorder="1" applyAlignment="1">
      <alignment horizontal="left" wrapText="1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6" borderId="2" xfId="0" applyFont="1" applyFill="1" applyBorder="1"/>
    <xf numFmtId="0" fontId="2" fillId="6" borderId="2" xfId="0" applyFont="1" applyFill="1" applyBorder="1" applyAlignment="1">
      <alignment horizontal="center"/>
    </xf>
    <xf numFmtId="0" fontId="2" fillId="7" borderId="13" xfId="0" applyFont="1" applyFill="1" applyBorder="1"/>
    <xf numFmtId="0" fontId="2" fillId="6" borderId="13" xfId="0" applyFont="1" applyFill="1" applyBorder="1"/>
    <xf numFmtId="0" fontId="2" fillId="6" borderId="13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6" xfId="0" applyFont="1" applyBorder="1"/>
    <xf numFmtId="0" fontId="4" fillId="0" borderId="3" xfId="0" applyFont="1" applyBorder="1"/>
    <xf numFmtId="0" fontId="4" fillId="0" borderId="5" xfId="0" applyFont="1" applyBorder="1"/>
    <xf numFmtId="0" fontId="4" fillId="5" borderId="10" xfId="0" applyFont="1" applyFill="1" applyBorder="1"/>
    <xf numFmtId="0" fontId="2" fillId="5" borderId="10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2" fillId="13" borderId="10" xfId="0" applyFont="1" applyFill="1" applyBorder="1"/>
    <xf numFmtId="0" fontId="2" fillId="11" borderId="10" xfId="0" applyFont="1" applyFill="1" applyBorder="1"/>
    <xf numFmtId="0" fontId="4" fillId="11" borderId="10" xfId="0" applyFont="1" applyFill="1" applyBorder="1"/>
    <xf numFmtId="0" fontId="2" fillId="0" borderId="0" xfId="0" applyFont="1" applyAlignment="1">
      <alignment horizontal="left" vertical="center"/>
    </xf>
    <xf numFmtId="0" fontId="2" fillId="14" borderId="10" xfId="0" applyFont="1" applyFill="1" applyBorder="1"/>
    <xf numFmtId="0" fontId="2" fillId="15" borderId="10" xfId="0" applyFont="1" applyFill="1" applyBorder="1" applyAlignment="1">
      <alignment horizontal="left"/>
    </xf>
    <xf numFmtId="0" fontId="2" fillId="16" borderId="10" xfId="0" applyFont="1" applyFill="1" applyBorder="1"/>
    <xf numFmtId="0" fontId="2" fillId="15" borderId="10" xfId="0" applyFont="1" applyFill="1" applyBorder="1"/>
    <xf numFmtId="0" fontId="2" fillId="5" borderId="10" xfId="0" applyFont="1" applyFill="1" applyBorder="1" applyAlignment="1">
      <alignment horizontal="left"/>
    </xf>
    <xf numFmtId="0" fontId="2" fillId="11" borderId="10" xfId="0" applyFont="1" applyFill="1" applyBorder="1" applyAlignment="1">
      <alignment horizontal="left"/>
    </xf>
    <xf numFmtId="0" fontId="7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horizontal="center"/>
    </xf>
    <xf numFmtId="0" fontId="2" fillId="5" borderId="1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/>
    <xf numFmtId="0" fontId="4" fillId="0" borderId="0" xfId="0" quotePrefix="1" applyFont="1"/>
    <xf numFmtId="0" fontId="2" fillId="0" borderId="0" xfId="0" quotePrefix="1" applyFont="1"/>
    <xf numFmtId="0" fontId="1" fillId="0" borderId="1" xfId="0" applyFont="1" applyBorder="1"/>
    <xf numFmtId="0" fontId="2" fillId="3" borderId="15" xfId="0" applyFont="1" applyFill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4" fillId="17" borderId="1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742950</xdr:colOff>
      <xdr:row>1358</xdr:row>
      <xdr:rowOff>66675</xdr:rowOff>
    </xdr:from>
    <xdr:ext cx="4371975" cy="32956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1352550</xdr:colOff>
      <xdr:row>1645</xdr:row>
      <xdr:rowOff>152400</xdr:rowOff>
    </xdr:from>
    <xdr:ext cx="1952625" cy="23717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60"/>
  <sheetViews>
    <sheetView tabSelected="1" workbookViewId="0">
      <pane ySplit="9" topLeftCell="A10" activePane="bottomLeft" state="frozen"/>
      <selection pane="bottomLeft" activeCell="C22" sqref="C22"/>
    </sheetView>
  </sheetViews>
  <sheetFormatPr baseColWidth="10" defaultColWidth="14.44140625" defaultRowHeight="15" customHeight="1"/>
  <cols>
    <col min="1" max="1" width="6.44140625" customWidth="1"/>
    <col min="2" max="2" width="18.33203125" customWidth="1"/>
    <col min="3" max="3" width="72.5546875" customWidth="1"/>
    <col min="4" max="5" width="64" customWidth="1"/>
    <col min="6" max="7" width="11.44140625" customWidth="1"/>
    <col min="8" max="8" width="71.5546875" customWidth="1"/>
    <col min="9" max="27" width="11.44140625" customWidth="1"/>
  </cols>
  <sheetData>
    <row r="1" spans="1:27" ht="14.4" hidden="1">
      <c r="A1" s="1"/>
      <c r="B1" s="1"/>
      <c r="C1" s="1" t="s">
        <v>484</v>
      </c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4" hidden="1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4" hidden="1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4" hidden="1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4" hidden="1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4" hidden="1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4" hidden="1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4" hidden="1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4">
      <c r="A9" s="3" t="s">
        <v>0</v>
      </c>
      <c r="B9" s="4" t="s">
        <v>1</v>
      </c>
      <c r="C9" s="3" t="s">
        <v>2</v>
      </c>
      <c r="D9" s="4" t="s">
        <v>485</v>
      </c>
      <c r="E9" s="4" t="s">
        <v>3</v>
      </c>
      <c r="F9" s="5" t="s">
        <v>486</v>
      </c>
      <c r="G9" s="5" t="s">
        <v>487</v>
      </c>
      <c r="H9" s="5" t="s">
        <v>488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4">
      <c r="A10" s="6">
        <v>101</v>
      </c>
      <c r="B10" s="7" t="s">
        <v>489</v>
      </c>
      <c r="C10" s="7" t="s">
        <v>4</v>
      </c>
      <c r="D10" s="8"/>
      <c r="E10" s="7" t="s">
        <v>5</v>
      </c>
      <c r="F10" s="1">
        <v>2</v>
      </c>
      <c r="G10" s="1">
        <f t="shared" ref="G10:G49" si="0">LEN(C10)</f>
        <v>41</v>
      </c>
      <c r="H10" s="1" t="str">
        <f t="shared" ref="H10:H49" si="1">CONCATENATE("insert into catInformation select ",A10,",'",C10,"',0,",F10)</f>
        <v>insert into catInformation select 101,'Numero de Persona Asignado por el sistema',0,2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4">
      <c r="A11" s="6">
        <v>102</v>
      </c>
      <c r="B11" s="9" t="s">
        <v>490</v>
      </c>
      <c r="C11" s="9" t="s">
        <v>6</v>
      </c>
      <c r="D11" s="10"/>
      <c r="E11" s="9" t="s">
        <v>7</v>
      </c>
      <c r="F11" s="1">
        <v>1</v>
      </c>
      <c r="G11" s="1">
        <f t="shared" si="0"/>
        <v>21</v>
      </c>
      <c r="H11" s="1" t="str">
        <f t="shared" si="1"/>
        <v>insert into catInformation select 102,'Nombre del Acreditado',0,1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4">
      <c r="A12" s="6">
        <v>103</v>
      </c>
      <c r="B12" s="9" t="s">
        <v>491</v>
      </c>
      <c r="C12" s="9" t="s">
        <v>8</v>
      </c>
      <c r="D12" s="10"/>
      <c r="E12" s="9" t="s">
        <v>9</v>
      </c>
      <c r="F12" s="1">
        <v>1</v>
      </c>
      <c r="G12" s="1">
        <f t="shared" si="0"/>
        <v>43</v>
      </c>
      <c r="H12" s="1" t="str">
        <f t="shared" si="1"/>
        <v>insert into catInformation select 103,'Tipo de Persona (1. Individual, 2. Empresa)',0,1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4">
      <c r="A13" s="6">
        <v>104</v>
      </c>
      <c r="B13" s="9" t="s">
        <v>492</v>
      </c>
      <c r="C13" s="9" t="s">
        <v>10</v>
      </c>
      <c r="D13" s="10"/>
      <c r="E13" s="9" t="s">
        <v>11</v>
      </c>
      <c r="F13" s="1">
        <v>1</v>
      </c>
      <c r="G13" s="1">
        <f t="shared" si="0"/>
        <v>37</v>
      </c>
      <c r="H13" s="1" t="str">
        <f t="shared" si="1"/>
        <v>insert into catInformation select 104,'Tipo de Persona (Individual, Empresa)',0,1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4">
      <c r="A14" s="6">
        <v>105</v>
      </c>
      <c r="B14" s="9" t="s">
        <v>493</v>
      </c>
      <c r="C14" s="9" t="s">
        <v>12</v>
      </c>
      <c r="D14" s="10"/>
      <c r="E14" s="9" t="s">
        <v>13</v>
      </c>
      <c r="F14" s="1">
        <v>1</v>
      </c>
      <c r="G14" s="1">
        <f t="shared" si="0"/>
        <v>27</v>
      </c>
      <c r="H14" s="1" t="str">
        <f t="shared" si="1"/>
        <v>insert into catInformation select 105,'Primer Nombre de la persona',0,1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4">
      <c r="A15" s="6">
        <v>106</v>
      </c>
      <c r="B15" s="9" t="s">
        <v>494</v>
      </c>
      <c r="C15" s="9" t="s">
        <v>14</v>
      </c>
      <c r="D15" s="10"/>
      <c r="E15" s="9" t="s">
        <v>15</v>
      </c>
      <c r="F15" s="1">
        <v>1</v>
      </c>
      <c r="G15" s="1">
        <f t="shared" si="0"/>
        <v>28</v>
      </c>
      <c r="H15" s="1" t="str">
        <f t="shared" si="1"/>
        <v>insert into catInformation select 106,'Segundo Nombre de la persona',0,1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4">
      <c r="A16" s="6">
        <v>107</v>
      </c>
      <c r="B16" s="9" t="s">
        <v>495</v>
      </c>
      <c r="C16" s="9" t="s">
        <v>16</v>
      </c>
      <c r="D16" s="10"/>
      <c r="E16" s="9" t="s">
        <v>17</v>
      </c>
      <c r="F16" s="1">
        <v>1</v>
      </c>
      <c r="G16" s="1">
        <f t="shared" si="0"/>
        <v>29</v>
      </c>
      <c r="H16" s="1" t="str">
        <f t="shared" si="1"/>
        <v>insert into catInformation select 107,'Primer Apellido de la persona',0,1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4">
      <c r="A17" s="6">
        <v>108</v>
      </c>
      <c r="B17" s="9" t="s">
        <v>496</v>
      </c>
      <c r="C17" s="9" t="s">
        <v>18</v>
      </c>
      <c r="D17" s="11"/>
      <c r="E17" s="9" t="s">
        <v>19</v>
      </c>
      <c r="F17" s="1">
        <v>1</v>
      </c>
      <c r="G17" s="1">
        <f t="shared" si="0"/>
        <v>30</v>
      </c>
      <c r="H17" s="1" t="str">
        <f t="shared" si="1"/>
        <v>insert into catInformation select 108,'Segundo Apellido de la persona',0,1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>
      <c r="A18" s="6">
        <v>109</v>
      </c>
      <c r="B18" s="9" t="s">
        <v>497</v>
      </c>
      <c r="C18" s="9" t="s">
        <v>20</v>
      </c>
      <c r="D18" s="10"/>
      <c r="E18" s="9" t="s">
        <v>21</v>
      </c>
      <c r="F18" s="1">
        <v>1</v>
      </c>
      <c r="G18" s="1">
        <f t="shared" si="0"/>
        <v>46</v>
      </c>
      <c r="H18" s="1" t="str">
        <f t="shared" si="1"/>
        <v>insert into catInformation select 109,'Clave del Tipo de Identificacion de la persona',0,1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>
      <c r="A19" s="6">
        <v>110</v>
      </c>
      <c r="B19" s="9" t="s">
        <v>498</v>
      </c>
      <c r="C19" s="9" t="s">
        <v>22</v>
      </c>
      <c r="D19" s="10"/>
      <c r="E19" s="9" t="s">
        <v>23</v>
      </c>
      <c r="F19" s="1">
        <v>1</v>
      </c>
      <c r="G19" s="1">
        <f t="shared" si="0"/>
        <v>36</v>
      </c>
      <c r="H19" s="1" t="str">
        <f t="shared" si="1"/>
        <v>insert into catInformation select 110,'Tipo de Identificacion de la persona',0,1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4">
      <c r="A20" s="6">
        <v>111</v>
      </c>
      <c r="B20" s="9" t="s">
        <v>499</v>
      </c>
      <c r="C20" s="9" t="s">
        <v>24</v>
      </c>
      <c r="D20" s="11"/>
      <c r="E20" s="9" t="s">
        <v>25</v>
      </c>
      <c r="F20" s="1">
        <v>1</v>
      </c>
      <c r="G20" s="1">
        <f t="shared" si="0"/>
        <v>24</v>
      </c>
      <c r="H20" s="1" t="str">
        <f t="shared" si="1"/>
        <v>insert into catInformation select 111,'Numero de Identificacion',0,1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6">
        <v>112</v>
      </c>
      <c r="B21" s="9" t="s">
        <v>500</v>
      </c>
      <c r="C21" s="9" t="s">
        <v>501</v>
      </c>
      <c r="D21" s="10"/>
      <c r="E21" s="9" t="s">
        <v>26</v>
      </c>
      <c r="F21" s="1">
        <v>1</v>
      </c>
      <c r="G21" s="1">
        <f t="shared" si="0"/>
        <v>41</v>
      </c>
      <c r="H21" s="1" t="str">
        <f t="shared" si="1"/>
        <v>insert into catInformation select 112,'Identificacion Fiscal de la persona (RFC)',0,1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6">
        <v>113</v>
      </c>
      <c r="B22" s="9" t="s">
        <v>502</v>
      </c>
      <c r="C22" s="9" t="s">
        <v>503</v>
      </c>
      <c r="D22" s="10"/>
      <c r="E22" s="9" t="s">
        <v>27</v>
      </c>
      <c r="F22" s="1">
        <v>1</v>
      </c>
      <c r="G22" s="1">
        <f t="shared" si="0"/>
        <v>47</v>
      </c>
      <c r="H22" s="1" t="str">
        <f t="shared" si="1"/>
        <v>insert into catInformation select 113,'Clave de Genero de la persona (1. Masc, 2. Fem)',0,1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6">
        <v>114</v>
      </c>
      <c r="B23" s="9" t="s">
        <v>504</v>
      </c>
      <c r="C23" s="9" t="s">
        <v>28</v>
      </c>
      <c r="D23" s="10"/>
      <c r="E23" s="9" t="s">
        <v>29</v>
      </c>
      <c r="F23" s="1">
        <v>1</v>
      </c>
      <c r="G23" s="1">
        <f t="shared" si="0"/>
        <v>42</v>
      </c>
      <c r="H23" s="1" t="str">
        <f t="shared" si="1"/>
        <v>insert into catInformation select 114,'Genero de la persona (Masculino, Femenino)',0,1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6">
        <v>115</v>
      </c>
      <c r="B24" s="9" t="s">
        <v>505</v>
      </c>
      <c r="C24" s="9" t="s">
        <v>30</v>
      </c>
      <c r="D24" s="10"/>
      <c r="E24" s="9" t="s">
        <v>31</v>
      </c>
      <c r="F24" s="1">
        <v>1</v>
      </c>
      <c r="G24" s="1">
        <f t="shared" si="0"/>
        <v>35</v>
      </c>
      <c r="H24" s="1" t="str">
        <f t="shared" si="1"/>
        <v>insert into catInformation select 115,'Clave de Estado Civil de la persona',0,1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6">
        <v>116</v>
      </c>
      <c r="B25" s="9" t="s">
        <v>506</v>
      </c>
      <c r="C25" s="9" t="s">
        <v>32</v>
      </c>
      <c r="D25" s="10"/>
      <c r="E25" s="9" t="s">
        <v>33</v>
      </c>
      <c r="F25" s="1">
        <v>1</v>
      </c>
      <c r="G25" s="1">
        <f t="shared" si="0"/>
        <v>26</v>
      </c>
      <c r="H25" s="1" t="str">
        <f t="shared" si="1"/>
        <v>insert into catInformation select 116,'Estado Civil de la persona',0,1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6">
        <v>117</v>
      </c>
      <c r="B26" s="9" t="s">
        <v>507</v>
      </c>
      <c r="C26" s="9" t="s">
        <v>34</v>
      </c>
      <c r="D26" s="10"/>
      <c r="E26" s="9" t="s">
        <v>35</v>
      </c>
      <c r="F26" s="1">
        <v>1</v>
      </c>
      <c r="G26" s="1">
        <f t="shared" si="0"/>
        <v>33</v>
      </c>
      <c r="H26" s="1" t="str">
        <f t="shared" si="1"/>
        <v>insert into catInformation select 117,'Fecha de Nacimiento de la Persona',0,1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6">
        <v>118</v>
      </c>
      <c r="B27" s="9" t="s">
        <v>508</v>
      </c>
      <c r="C27" s="9" t="s">
        <v>36</v>
      </c>
      <c r="D27" s="10"/>
      <c r="E27" s="9" t="s">
        <v>37</v>
      </c>
      <c r="F27" s="1">
        <v>1</v>
      </c>
      <c r="G27" s="1">
        <f t="shared" si="0"/>
        <v>32</v>
      </c>
      <c r="H27" s="1" t="str">
        <f t="shared" si="1"/>
        <v>insert into catInformation select 118,'Correo Electronico de la persona',0,1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6">
        <v>119</v>
      </c>
      <c r="B28" s="9" t="s">
        <v>509</v>
      </c>
      <c r="C28" s="9" t="s">
        <v>38</v>
      </c>
      <c r="D28" s="10"/>
      <c r="E28" s="9" t="s">
        <v>39</v>
      </c>
      <c r="F28" s="1">
        <v>1</v>
      </c>
      <c r="G28" s="1">
        <f t="shared" si="0"/>
        <v>37</v>
      </c>
      <c r="H28" s="1" t="str">
        <f t="shared" si="1"/>
        <v>insert into catInformation select 119,'Bandera de verificacion de la persona',0,1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6">
        <v>120</v>
      </c>
      <c r="B29" s="9" t="s">
        <v>510</v>
      </c>
      <c r="C29" s="9" t="s">
        <v>40</v>
      </c>
      <c r="D29" s="10"/>
      <c r="E29" s="9" t="s">
        <v>41</v>
      </c>
      <c r="F29" s="1">
        <v>1</v>
      </c>
      <c r="G29" s="1">
        <f t="shared" si="0"/>
        <v>46</v>
      </c>
      <c r="H29" s="1" t="str">
        <f t="shared" si="1"/>
        <v>insert into catInformation select 120,'Etiqueta Bandera de verificacion de la persona',0,1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6">
        <v>121</v>
      </c>
      <c r="B30" s="9" t="s">
        <v>511</v>
      </c>
      <c r="C30" s="9" t="s">
        <v>42</v>
      </c>
      <c r="D30" s="10"/>
      <c r="E30" s="9" t="s">
        <v>43</v>
      </c>
      <c r="F30" s="1">
        <v>1</v>
      </c>
      <c r="G30" s="1">
        <f t="shared" si="0"/>
        <v>49</v>
      </c>
      <c r="H30" s="1" t="str">
        <f t="shared" si="1"/>
        <v>insert into catInformation select 121,'Numero de Persona asignado por un sistema externo',0,1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6">
        <v>122</v>
      </c>
      <c r="B31" s="9" t="s">
        <v>512</v>
      </c>
      <c r="C31" s="9" t="s">
        <v>44</v>
      </c>
      <c r="D31" s="10"/>
      <c r="E31" s="9" t="s">
        <v>45</v>
      </c>
      <c r="F31" s="1">
        <v>2</v>
      </c>
      <c r="G31" s="1">
        <f t="shared" si="0"/>
        <v>33</v>
      </c>
      <c r="H31" s="1" t="str">
        <f t="shared" si="1"/>
        <v>insert into catInformation select 122,'Numero de Dependientes economicos',0,2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6">
        <v>123</v>
      </c>
      <c r="B32" s="9" t="s">
        <v>513</v>
      </c>
      <c r="C32" s="9" t="s">
        <v>46</v>
      </c>
      <c r="D32" s="10"/>
      <c r="E32" s="9" t="s">
        <v>47</v>
      </c>
      <c r="F32" s="1">
        <v>1</v>
      </c>
      <c r="G32" s="1">
        <f t="shared" si="0"/>
        <v>40</v>
      </c>
      <c r="H32" s="1" t="str">
        <f t="shared" si="1"/>
        <v>insert into catInformation select 123,'Clave de Nivel de Estudios de la persona',0,1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6">
        <v>124</v>
      </c>
      <c r="B33" s="9" t="s">
        <v>514</v>
      </c>
      <c r="C33" s="9" t="s">
        <v>48</v>
      </c>
      <c r="D33" s="10"/>
      <c r="E33" s="9" t="s">
        <v>49</v>
      </c>
      <c r="F33" s="1">
        <v>1</v>
      </c>
      <c r="G33" s="1">
        <f t="shared" si="0"/>
        <v>31</v>
      </c>
      <c r="H33" s="1" t="str">
        <f t="shared" si="1"/>
        <v>insert into catInformation select 124,'Nivel de Estudios de la persona',0,1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6">
        <v>125</v>
      </c>
      <c r="B34" s="9" t="s">
        <v>515</v>
      </c>
      <c r="C34" s="9" t="s">
        <v>50</v>
      </c>
      <c r="D34" s="10"/>
      <c r="E34" s="9" t="s">
        <v>51</v>
      </c>
      <c r="F34" s="1">
        <v>1</v>
      </c>
      <c r="G34" s="1">
        <f t="shared" si="0"/>
        <v>25</v>
      </c>
      <c r="H34" s="1" t="str">
        <f t="shared" si="1"/>
        <v>insert into catInformation select 125,'Primer Nombre del conyuge',0,1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6">
        <v>126</v>
      </c>
      <c r="B35" s="9" t="s">
        <v>516</v>
      </c>
      <c r="C35" s="9" t="s">
        <v>52</v>
      </c>
      <c r="D35" s="10"/>
      <c r="E35" s="9" t="s">
        <v>53</v>
      </c>
      <c r="F35" s="1">
        <v>1</v>
      </c>
      <c r="G35" s="1">
        <f t="shared" si="0"/>
        <v>26</v>
      </c>
      <c r="H35" s="1" t="str">
        <f t="shared" si="1"/>
        <v>insert into catInformation select 126,'Segundo Nombre del conyuge',0,1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6">
        <v>127</v>
      </c>
      <c r="B36" s="9" t="s">
        <v>517</v>
      </c>
      <c r="C36" s="9" t="s">
        <v>54</v>
      </c>
      <c r="D36" s="10"/>
      <c r="E36" s="9" t="s">
        <v>55</v>
      </c>
      <c r="F36" s="1">
        <v>1</v>
      </c>
      <c r="G36" s="1">
        <f t="shared" si="0"/>
        <v>27</v>
      </c>
      <c r="H36" s="1" t="str">
        <f t="shared" si="1"/>
        <v>insert into catInformation select 127,'Primer Apellido del conyuge',0,1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6">
        <v>128</v>
      </c>
      <c r="B37" s="9" t="s">
        <v>518</v>
      </c>
      <c r="C37" s="9" t="s">
        <v>56</v>
      </c>
      <c r="D37" s="10"/>
      <c r="E37" s="9" t="s">
        <v>57</v>
      </c>
      <c r="F37" s="1">
        <v>1</v>
      </c>
      <c r="G37" s="1">
        <f t="shared" si="0"/>
        <v>28</v>
      </c>
      <c r="H37" s="1" t="str">
        <f t="shared" si="1"/>
        <v>insert into catInformation select 128,'Segundo Apellido del conyuge',0,1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6">
        <v>129</v>
      </c>
      <c r="B38" s="9" t="s">
        <v>519</v>
      </c>
      <c r="C38" s="9" t="s">
        <v>520</v>
      </c>
      <c r="D38" s="10"/>
      <c r="E38" s="9" t="s">
        <v>58</v>
      </c>
      <c r="F38" s="1">
        <v>1</v>
      </c>
      <c r="G38" s="1">
        <f t="shared" si="0"/>
        <v>40</v>
      </c>
      <c r="H38" s="1" t="str">
        <f t="shared" si="1"/>
        <v>insert into catInformation select 129,'Numero de telefono celular de la persona',0,1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6">
        <v>130</v>
      </c>
      <c r="B39" s="9" t="s">
        <v>521</v>
      </c>
      <c r="C39" s="9" t="s">
        <v>522</v>
      </c>
      <c r="D39" s="10"/>
      <c r="E39" s="9" t="s">
        <v>59</v>
      </c>
      <c r="F39" s="1">
        <v>1</v>
      </c>
      <c r="G39" s="1">
        <f t="shared" si="0"/>
        <v>48</v>
      </c>
      <c r="H39" s="1" t="str">
        <f t="shared" si="1"/>
        <v>insert into catInformation select 130,'Nombre completo iniciando con el primer apellido',0,1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6">
        <v>131</v>
      </c>
      <c r="B40" s="9" t="s">
        <v>523</v>
      </c>
      <c r="C40" s="9" t="s">
        <v>524</v>
      </c>
      <c r="D40" s="10"/>
      <c r="E40" s="9" t="s">
        <v>60</v>
      </c>
      <c r="F40" s="1">
        <v>1</v>
      </c>
      <c r="G40" s="1">
        <f t="shared" si="0"/>
        <v>46</v>
      </c>
      <c r="H40" s="1" t="str">
        <f t="shared" si="1"/>
        <v>insert into catInformation select 131,'Nombre completo iniciando con el primer nombre',0,1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6">
        <v>132</v>
      </c>
      <c r="B41" s="9" t="s">
        <v>525</v>
      </c>
      <c r="C41" s="9" t="s">
        <v>526</v>
      </c>
      <c r="D41" s="10"/>
      <c r="E41" s="9" t="s">
        <v>61</v>
      </c>
      <c r="F41" s="1">
        <v>1</v>
      </c>
      <c r="G41" s="1">
        <f t="shared" si="0"/>
        <v>46</v>
      </c>
      <c r="H41" s="1" t="str">
        <f t="shared" si="1"/>
        <v>insert into catInformation select 132,'Nombre completo conyuge inicia primer apellido',0,1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6">
        <v>133</v>
      </c>
      <c r="B42" s="9" t="s">
        <v>527</v>
      </c>
      <c r="C42" s="9" t="s">
        <v>528</v>
      </c>
      <c r="D42" s="10"/>
      <c r="E42" s="9" t="s">
        <v>62</v>
      </c>
      <c r="F42" s="1">
        <v>1</v>
      </c>
      <c r="G42" s="1">
        <f t="shared" si="0"/>
        <v>48</v>
      </c>
      <c r="H42" s="1" t="str">
        <f t="shared" si="1"/>
        <v>insert into catInformation select 133,'Nombre completo del conyuge inicia primer nombre',0,1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6">
        <v>134</v>
      </c>
      <c r="B43" s="9" t="s">
        <v>529</v>
      </c>
      <c r="C43" s="9" t="s">
        <v>63</v>
      </c>
      <c r="D43" s="10"/>
      <c r="E43" s="9" t="s">
        <v>64</v>
      </c>
      <c r="F43" s="1">
        <v>1</v>
      </c>
      <c r="G43" s="1">
        <f t="shared" si="0"/>
        <v>43</v>
      </c>
      <c r="H43" s="1" t="str">
        <f t="shared" si="1"/>
        <v>insert into catInformation select 134,'Clave del usuario que genera la informacion',0,1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6">
        <v>135</v>
      </c>
      <c r="B44" s="9" t="s">
        <v>530</v>
      </c>
      <c r="C44" s="9" t="s">
        <v>65</v>
      </c>
      <c r="D44" s="10"/>
      <c r="E44" s="9" t="s">
        <v>66</v>
      </c>
      <c r="F44" s="1">
        <v>1</v>
      </c>
      <c r="G44" s="1">
        <f t="shared" si="0"/>
        <v>48</v>
      </c>
      <c r="H44" s="1" t="str">
        <f t="shared" si="1"/>
        <v>insert into catInformation select 135,'Nombre de la persona con limite de 20 caracteres',0,1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6">
        <v>136</v>
      </c>
      <c r="B45" s="9" t="s">
        <v>531</v>
      </c>
      <c r="C45" s="9" t="s">
        <v>67</v>
      </c>
      <c r="D45" s="10"/>
      <c r="E45" s="9" t="s">
        <v>68</v>
      </c>
      <c r="F45" s="1">
        <v>1</v>
      </c>
      <c r="G45" s="1">
        <f t="shared" si="0"/>
        <v>27</v>
      </c>
      <c r="H45" s="1" t="str">
        <f t="shared" si="1"/>
        <v>insert into catInformation select 136,'Nacionalidad del acreditado',0,1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6">
        <v>137</v>
      </c>
      <c r="B46" s="9" t="s">
        <v>532</v>
      </c>
      <c r="C46" s="9" t="s">
        <v>69</v>
      </c>
      <c r="D46" s="10"/>
      <c r="E46" s="9" t="s">
        <v>70</v>
      </c>
      <c r="F46" s="1">
        <v>2</v>
      </c>
      <c r="G46" s="1">
        <f t="shared" si="0"/>
        <v>19</v>
      </c>
      <c r="H46" s="1" t="str">
        <f t="shared" si="1"/>
        <v>insert into catInformation select 137,'Edad del acreditado',0,2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6">
        <v>138</v>
      </c>
      <c r="B47" s="9" t="s">
        <v>533</v>
      </c>
      <c r="C47" s="9" t="s">
        <v>534</v>
      </c>
      <c r="D47" s="10"/>
      <c r="E47" s="9" t="s">
        <v>535</v>
      </c>
      <c r="F47" s="1">
        <v>1</v>
      </c>
      <c r="G47" s="1">
        <f t="shared" si="0"/>
        <v>49</v>
      </c>
      <c r="H47" s="1" t="str">
        <f t="shared" si="1"/>
        <v>insert into catInformation select 138,'Edad acreditado mas plazo de solicitud de Credito',0,1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6">
        <v>139</v>
      </c>
      <c r="B48" s="9" t="s">
        <v>536</v>
      </c>
      <c r="C48" s="9" t="s">
        <v>537</v>
      </c>
      <c r="D48" s="10"/>
      <c r="E48" s="9" t="s">
        <v>538</v>
      </c>
      <c r="F48" s="1">
        <v>2</v>
      </c>
      <c r="G48" s="1">
        <f t="shared" si="0"/>
        <v>44</v>
      </c>
      <c r="H48" s="1" t="str">
        <f t="shared" si="1"/>
        <v>insert into catInformation select 139,'Edad del Representante Legal (Para Empresas)',0,2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6">
        <v>140</v>
      </c>
      <c r="B49" s="9" t="s">
        <v>539</v>
      </c>
      <c r="C49" s="9" t="s">
        <v>540</v>
      </c>
      <c r="D49" s="10"/>
      <c r="E49" s="9" t="s">
        <v>541</v>
      </c>
      <c r="F49" s="1">
        <v>2</v>
      </c>
      <c r="G49" s="1">
        <f t="shared" si="0"/>
        <v>49</v>
      </c>
      <c r="H49" s="1" t="str">
        <f t="shared" si="1"/>
        <v>insert into catInformation select 140,'Edad del Rep. Legal (Empresa) mas plazo solicitud',0,2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6"/>
      <c r="B50" s="12" t="s">
        <v>542</v>
      </c>
      <c r="C50" s="13" t="s">
        <v>543</v>
      </c>
      <c r="D50" s="10"/>
      <c r="E50" s="9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6">
        <v>141</v>
      </c>
      <c r="B51" s="12" t="s">
        <v>544</v>
      </c>
      <c r="C51" s="13" t="s">
        <v>545</v>
      </c>
      <c r="D51" s="10"/>
      <c r="E51" s="9" t="s">
        <v>546</v>
      </c>
      <c r="F51" s="1">
        <v>1</v>
      </c>
      <c r="G51" s="1">
        <f t="shared" ref="G51:G100" si="2">LEN(C51)</f>
        <v>28</v>
      </c>
      <c r="H51" s="1" t="str">
        <f t="shared" ref="H51:H99" si="3">CONCATENATE("insert into catInformation select ",A51,",'",C51,"',0,",F51)</f>
        <v>insert into catInformation select 141,'Clave del Estado donde nacio',0,1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6">
        <v>142</v>
      </c>
      <c r="B52" s="12" t="s">
        <v>547</v>
      </c>
      <c r="C52" s="13" t="s">
        <v>548</v>
      </c>
      <c r="D52" s="10"/>
      <c r="E52" s="9" t="s">
        <v>549</v>
      </c>
      <c r="F52" s="1">
        <v>1</v>
      </c>
      <c r="G52" s="1">
        <f t="shared" si="2"/>
        <v>18</v>
      </c>
      <c r="H52" s="1" t="str">
        <f t="shared" si="3"/>
        <v>insert into catInformation select 142,'Estado donde Nacio',0,1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6">
        <v>143</v>
      </c>
      <c r="B53" s="12" t="s">
        <v>550</v>
      </c>
      <c r="C53" s="13" t="s">
        <v>551</v>
      </c>
      <c r="D53" s="10"/>
      <c r="E53" s="9" t="s">
        <v>552</v>
      </c>
      <c r="F53" s="1">
        <v>1</v>
      </c>
      <c r="G53" s="1">
        <f t="shared" si="2"/>
        <v>27</v>
      </c>
      <c r="H53" s="1" t="str">
        <f t="shared" si="3"/>
        <v>insert into catInformation select 143,'RFC del Representante Legal',0,1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6">
        <v>144</v>
      </c>
      <c r="B54" s="12" t="s">
        <v>553</v>
      </c>
      <c r="C54" s="13" t="s">
        <v>554</v>
      </c>
      <c r="D54" s="10"/>
      <c r="E54" s="9" t="s">
        <v>555</v>
      </c>
      <c r="F54" s="1">
        <v>1</v>
      </c>
      <c r="G54" s="1">
        <f t="shared" si="2"/>
        <v>25</v>
      </c>
      <c r="H54" s="1" t="str">
        <f t="shared" si="3"/>
        <v>insert into catInformation select 144,'Clave Regimen Matrimonial',0,1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6">
        <v>145</v>
      </c>
      <c r="B55" s="12" t="s">
        <v>556</v>
      </c>
      <c r="C55" s="13" t="s">
        <v>557</v>
      </c>
      <c r="D55" s="10"/>
      <c r="E55" s="9" t="s">
        <v>558</v>
      </c>
      <c r="F55" s="1">
        <v>1</v>
      </c>
      <c r="G55" s="1">
        <f t="shared" si="2"/>
        <v>31</v>
      </c>
      <c r="H55" s="1" t="str">
        <f t="shared" si="3"/>
        <v>insert into catInformation select 145,'Descripcion Regimen Matrimonial',0,1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6">
        <v>146</v>
      </c>
      <c r="B56" s="12" t="s">
        <v>559</v>
      </c>
      <c r="C56" s="13" t="s">
        <v>560</v>
      </c>
      <c r="D56" s="10"/>
      <c r="E56" s="9"/>
      <c r="F56" s="1">
        <v>1</v>
      </c>
      <c r="G56" s="1">
        <f t="shared" si="2"/>
        <v>4</v>
      </c>
      <c r="H56" s="1" t="str">
        <f t="shared" si="3"/>
        <v>insert into catInformation select 146,'CURP',0,1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6">
        <v>147</v>
      </c>
      <c r="B57" s="14" t="s">
        <v>561</v>
      </c>
      <c r="C57" s="15" t="s">
        <v>562</v>
      </c>
      <c r="D57" s="16"/>
      <c r="E57" s="14" t="s">
        <v>563</v>
      </c>
      <c r="F57" s="17">
        <v>1</v>
      </c>
      <c r="G57" s="1">
        <f t="shared" si="2"/>
        <v>33</v>
      </c>
      <c r="H57" s="1" t="str">
        <f t="shared" si="3"/>
        <v>insert into catInformation select 147,'Nombre de la Empresa donde Labora',0,1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6">
        <v>151</v>
      </c>
      <c r="B58" s="9" t="s">
        <v>564</v>
      </c>
      <c r="C58" s="18" t="s">
        <v>565</v>
      </c>
      <c r="D58" s="10"/>
      <c r="E58" s="9" t="s">
        <v>566</v>
      </c>
      <c r="F58" s="1">
        <v>2</v>
      </c>
      <c r="G58" s="1">
        <f t="shared" si="2"/>
        <v>45</v>
      </c>
      <c r="H58" s="1" t="str">
        <f t="shared" si="3"/>
        <v>insert into catInformation select 151,'Numero de clientes del portafolio del cliente',0,2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6">
        <v>152</v>
      </c>
      <c r="B59" s="9" t="s">
        <v>567</v>
      </c>
      <c r="C59" s="18" t="s">
        <v>568</v>
      </c>
      <c r="D59" s="10"/>
      <c r="E59" s="9" t="s">
        <v>569</v>
      </c>
      <c r="F59" s="1">
        <v>2</v>
      </c>
      <c r="G59" s="1">
        <f t="shared" si="2"/>
        <v>40</v>
      </c>
      <c r="H59" s="1" t="str">
        <f t="shared" si="3"/>
        <v>insert into catInformation select 152,'Principales Clientes (80% de las ventas)',0,2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6">
        <v>153</v>
      </c>
      <c r="B60" s="9" t="s">
        <v>570</v>
      </c>
      <c r="C60" s="18" t="s">
        <v>571</v>
      </c>
      <c r="D60" s="10"/>
      <c r="E60" s="9" t="s">
        <v>572</v>
      </c>
      <c r="F60" s="1">
        <v>1</v>
      </c>
      <c r="G60" s="1">
        <f t="shared" si="2"/>
        <v>46</v>
      </c>
      <c r="H60" s="1" t="str">
        <f t="shared" si="3"/>
        <v>insert into catInformation select 153,'Mercado de Influencia de productos o servicios',0,1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9">
        <v>154</v>
      </c>
      <c r="B61" s="9" t="s">
        <v>573</v>
      </c>
      <c r="C61" s="18" t="s">
        <v>574</v>
      </c>
      <c r="D61" s="10"/>
      <c r="E61" s="9" t="s">
        <v>575</v>
      </c>
      <c r="F61" s="1">
        <v>1</v>
      </c>
      <c r="G61" s="1">
        <f t="shared" si="2"/>
        <v>49</v>
      </c>
      <c r="H61" s="1" t="str">
        <f t="shared" si="3"/>
        <v>insert into catInformation select 154,'Etiqueta Mercado Influencia productos o servicios',0,1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9">
        <v>155</v>
      </c>
      <c r="B62" s="9" t="s">
        <v>576</v>
      </c>
      <c r="C62" s="18" t="s">
        <v>577</v>
      </c>
      <c r="D62" s="10"/>
      <c r="E62" s="9" t="s">
        <v>578</v>
      </c>
      <c r="F62" s="1">
        <v>1</v>
      </c>
      <c r="G62" s="1">
        <f t="shared" si="2"/>
        <v>39</v>
      </c>
      <c r="H62" s="1" t="str">
        <f t="shared" si="3"/>
        <v>insert into catInformation select 155,'Antiguedad de Relacion con los clientes',0,1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9">
        <v>156</v>
      </c>
      <c r="B63" s="9" t="s">
        <v>579</v>
      </c>
      <c r="C63" s="18" t="s">
        <v>580</v>
      </c>
      <c r="D63" s="10"/>
      <c r="E63" s="9" t="s">
        <v>581</v>
      </c>
      <c r="F63" s="1">
        <v>1</v>
      </c>
      <c r="G63" s="1">
        <f t="shared" si="2"/>
        <v>34</v>
      </c>
      <c r="H63" s="1" t="str">
        <f t="shared" si="3"/>
        <v>insert into catInformation select 156,'Rotacion de Personal de la Empresa',0,1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9">
        <v>157</v>
      </c>
      <c r="B64" s="9" t="s">
        <v>582</v>
      </c>
      <c r="C64" s="18" t="s">
        <v>583</v>
      </c>
      <c r="D64" s="10"/>
      <c r="E64" s="9" t="s">
        <v>584</v>
      </c>
      <c r="F64" s="1">
        <v>1</v>
      </c>
      <c r="G64" s="1">
        <f t="shared" si="2"/>
        <v>43</v>
      </c>
      <c r="H64" s="1" t="str">
        <f t="shared" si="3"/>
        <v>insert into catInformation select 157,'Etiqueta Rotacion de Personal de la Empresa',0,1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9">
        <v>158</v>
      </c>
      <c r="B65" s="9" t="s">
        <v>585</v>
      </c>
      <c r="C65" s="18" t="s">
        <v>586</v>
      </c>
      <c r="D65" s="10"/>
      <c r="E65" s="9" t="s">
        <v>587</v>
      </c>
      <c r="F65" s="1">
        <v>1</v>
      </c>
      <c r="G65" s="1">
        <f t="shared" si="2"/>
        <v>30</v>
      </c>
      <c r="H65" s="1" t="str">
        <f t="shared" si="3"/>
        <v>insert into catInformation select 158,'Disponibilidad de Mano de Obra',0,1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9">
        <v>159</v>
      </c>
      <c r="B66" s="9" t="s">
        <v>588</v>
      </c>
      <c r="C66" s="18" t="s">
        <v>589</v>
      </c>
      <c r="D66" s="10"/>
      <c r="E66" s="9" t="s">
        <v>590</v>
      </c>
      <c r="F66" s="1">
        <v>1</v>
      </c>
      <c r="G66" s="1">
        <f t="shared" si="2"/>
        <v>39</v>
      </c>
      <c r="H66" s="1" t="str">
        <f t="shared" si="3"/>
        <v>insert into catInformation select 159,'Etiqueta Disponibilidad de Mano de Obra',0,1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9">
        <v>160</v>
      </c>
      <c r="B67" s="9" t="s">
        <v>591</v>
      </c>
      <c r="C67" s="18" t="s">
        <v>592</v>
      </c>
      <c r="D67" s="10"/>
      <c r="E67" s="9" t="s">
        <v>593</v>
      </c>
      <c r="F67" s="1">
        <v>1</v>
      </c>
      <c r="G67" s="1">
        <f t="shared" si="2"/>
        <v>31</v>
      </c>
      <c r="H67" s="1" t="str">
        <f t="shared" si="3"/>
        <v>insert into catInformation select 160,'Entorno del Mercado del Negocio',0,1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9">
        <v>161</v>
      </c>
      <c r="B68" s="9" t="s">
        <v>594</v>
      </c>
      <c r="C68" s="18" t="s">
        <v>595</v>
      </c>
      <c r="D68" s="10"/>
      <c r="E68" s="9" t="s">
        <v>596</v>
      </c>
      <c r="F68" s="1">
        <v>1</v>
      </c>
      <c r="G68" s="1">
        <f t="shared" si="2"/>
        <v>40</v>
      </c>
      <c r="H68" s="1" t="str">
        <f t="shared" si="3"/>
        <v>insert into catInformation select 161,'Etiqueta Entorno del Mercado del Negocio',0,1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9">
        <v>162</v>
      </c>
      <c r="B69" s="9" t="s">
        <v>597</v>
      </c>
      <c r="C69" s="18" t="s">
        <v>598</v>
      </c>
      <c r="D69" s="10"/>
      <c r="E69" s="9" t="s">
        <v>599</v>
      </c>
      <c r="F69" s="1">
        <v>1</v>
      </c>
      <c r="G69" s="1">
        <f t="shared" si="2"/>
        <v>35</v>
      </c>
      <c r="H69" s="1" t="str">
        <f t="shared" si="3"/>
        <v>insert into catInformation select 162,'Numero de Proveedores de la Empresa',0,1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9">
        <v>163</v>
      </c>
      <c r="B70" s="9" t="s">
        <v>600</v>
      </c>
      <c r="C70" s="18" t="s">
        <v>601</v>
      </c>
      <c r="D70" s="10"/>
      <c r="E70" s="9" t="s">
        <v>602</v>
      </c>
      <c r="F70" s="1">
        <v>1</v>
      </c>
      <c r="G70" s="1">
        <f t="shared" si="2"/>
        <v>45</v>
      </c>
      <c r="H70" s="1" t="str">
        <f t="shared" si="3"/>
        <v>insert into catInformation select 163,'Antiguedad de la Relacion con los Proveedores',0,1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9">
        <v>169</v>
      </c>
      <c r="B71" s="9" t="s">
        <v>603</v>
      </c>
      <c r="C71" s="18" t="s">
        <v>604</v>
      </c>
      <c r="D71" s="10"/>
      <c r="E71" s="9" t="s">
        <v>605</v>
      </c>
      <c r="F71" s="1">
        <v>1</v>
      </c>
      <c r="G71" s="1">
        <f t="shared" si="2"/>
        <v>29</v>
      </c>
      <c r="H71" s="1" t="str">
        <f t="shared" si="3"/>
        <v>insert into catInformation select 169,'Telefono del negocio o Empleo',0,1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9">
        <v>170</v>
      </c>
      <c r="B72" s="9" t="s">
        <v>606</v>
      </c>
      <c r="C72" s="9" t="s">
        <v>71</v>
      </c>
      <c r="D72" s="10"/>
      <c r="E72" s="9" t="s">
        <v>72</v>
      </c>
      <c r="F72" s="1">
        <v>1</v>
      </c>
      <c r="G72" s="1">
        <f t="shared" si="2"/>
        <v>17</v>
      </c>
      <c r="H72" s="1" t="str">
        <f t="shared" si="3"/>
        <v>insert into catInformation select 170,'Tipo de Actividad',0,1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9">
        <v>171</v>
      </c>
      <c r="B73" s="9" t="s">
        <v>607</v>
      </c>
      <c r="C73" s="9" t="s">
        <v>608</v>
      </c>
      <c r="D73" s="10"/>
      <c r="E73" s="9" t="s">
        <v>73</v>
      </c>
      <c r="F73" s="1">
        <v>1</v>
      </c>
      <c r="G73" s="1">
        <f t="shared" si="2"/>
        <v>49</v>
      </c>
      <c r="H73" s="1" t="str">
        <f t="shared" si="3"/>
        <v>insert into catInformation select 171,'Direccion Negocio/ Empleo (Calle Num Ext Num Int)',0,1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9">
        <v>172</v>
      </c>
      <c r="B74" s="9" t="s">
        <v>609</v>
      </c>
      <c r="C74" s="9" t="s">
        <v>74</v>
      </c>
      <c r="D74" s="10"/>
      <c r="E74" s="9" t="s">
        <v>75</v>
      </c>
      <c r="F74" s="1">
        <v>1</v>
      </c>
      <c r="G74" s="1">
        <f t="shared" si="2"/>
        <v>19</v>
      </c>
      <c r="H74" s="1" t="str">
        <f t="shared" si="3"/>
        <v>insert into catInformation select 172,'Colonia del Negocio',0,1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9">
        <v>173</v>
      </c>
      <c r="B75" s="9" t="s">
        <v>610</v>
      </c>
      <c r="C75" s="18" t="s">
        <v>76</v>
      </c>
      <c r="D75" s="10"/>
      <c r="E75" s="9" t="s">
        <v>77</v>
      </c>
      <c r="F75" s="1">
        <v>1</v>
      </c>
      <c r="G75" s="1">
        <f t="shared" si="2"/>
        <v>21</v>
      </c>
      <c r="H75" s="1" t="str">
        <f t="shared" si="3"/>
        <v>insert into catInformation select 173,'Localidad del Negocio',0,1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9">
        <v>174</v>
      </c>
      <c r="B76" s="9" t="s">
        <v>611</v>
      </c>
      <c r="C76" s="18" t="s">
        <v>78</v>
      </c>
      <c r="D76" s="10"/>
      <c r="E76" s="9" t="s">
        <v>79</v>
      </c>
      <c r="F76" s="1">
        <v>1</v>
      </c>
      <c r="G76" s="1">
        <f t="shared" si="2"/>
        <v>21</v>
      </c>
      <c r="H76" s="1" t="str">
        <f t="shared" si="3"/>
        <v>insert into catInformation select 174,'Municipio del Negocio',0,1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9">
        <v>175</v>
      </c>
      <c r="B77" s="9" t="s">
        <v>612</v>
      </c>
      <c r="C77" s="18" t="s">
        <v>80</v>
      </c>
      <c r="D77" s="10"/>
      <c r="E77" s="9" t="s">
        <v>81</v>
      </c>
      <c r="F77" s="1">
        <v>1</v>
      </c>
      <c r="G77" s="1">
        <f t="shared" si="2"/>
        <v>34</v>
      </c>
      <c r="H77" s="1" t="str">
        <f t="shared" si="3"/>
        <v>insert into catInformation select 175,'Codigo Postal del Negocio o Empleo',0,1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9">
        <v>176</v>
      </c>
      <c r="B78" s="9" t="s">
        <v>613</v>
      </c>
      <c r="C78" s="18" t="s">
        <v>82</v>
      </c>
      <c r="D78" s="10"/>
      <c r="E78" s="9" t="s">
        <v>83</v>
      </c>
      <c r="F78" s="1">
        <v>2</v>
      </c>
      <c r="G78" s="1">
        <f t="shared" si="2"/>
        <v>41</v>
      </c>
      <c r="H78" s="1" t="str">
        <f t="shared" si="3"/>
        <v>insert into catInformation select 176,'Anos de antiguedad en el empleo o Negocio',0,2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9">
        <v>177</v>
      </c>
      <c r="B79" s="9" t="s">
        <v>614</v>
      </c>
      <c r="C79" s="18" t="s">
        <v>615</v>
      </c>
      <c r="D79" s="10"/>
      <c r="E79" s="9" t="s">
        <v>84</v>
      </c>
      <c r="F79" s="1">
        <v>2</v>
      </c>
      <c r="G79" s="1">
        <f t="shared" si="2"/>
        <v>36</v>
      </c>
      <c r="H79" s="1" t="str">
        <f t="shared" si="3"/>
        <v>insert into catInformation select 177,'Meses antiguedad en empleo o negocio',0,2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9">
        <v>178</v>
      </c>
      <c r="B80" s="9" t="s">
        <v>616</v>
      </c>
      <c r="C80" s="18" t="s">
        <v>617</v>
      </c>
      <c r="D80" s="10"/>
      <c r="E80" s="9" t="s">
        <v>618</v>
      </c>
      <c r="F80" s="1">
        <v>1</v>
      </c>
      <c r="G80" s="1">
        <f t="shared" si="2"/>
        <v>47</v>
      </c>
      <c r="H80" s="1" t="str">
        <f t="shared" si="3"/>
        <v>insert into catInformation select 178,'Tipo de Negocio (Nuevo, En Operacion, Reinicio)',0,1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9">
        <v>179</v>
      </c>
      <c r="B81" s="9" t="s">
        <v>619</v>
      </c>
      <c r="C81" s="18" t="s">
        <v>620</v>
      </c>
      <c r="D81" s="10"/>
      <c r="E81" s="9" t="s">
        <v>621</v>
      </c>
      <c r="F81" s="1">
        <v>2</v>
      </c>
      <c r="G81" s="1">
        <f t="shared" si="2"/>
        <v>34</v>
      </c>
      <c r="H81" s="1" t="str">
        <f t="shared" si="3"/>
        <v>insert into catInformation select 179,'Antiguedad de creacion del negocio',0,2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9">
        <v>180</v>
      </c>
      <c r="B82" s="9" t="s">
        <v>622</v>
      </c>
      <c r="C82" s="18" t="s">
        <v>623</v>
      </c>
      <c r="D82" s="10"/>
      <c r="E82" s="9" t="s">
        <v>624</v>
      </c>
      <c r="F82" s="1">
        <v>2</v>
      </c>
      <c r="G82" s="1">
        <f t="shared" si="2"/>
        <v>46</v>
      </c>
      <c r="H82" s="1" t="str">
        <f t="shared" si="3"/>
        <v>insert into catInformation select 180,'Antiguedad empleo/negocio: (Years*12)+ Months ',0,2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9">
        <v>181</v>
      </c>
      <c r="B83" s="9" t="s">
        <v>625</v>
      </c>
      <c r="C83" s="18" t="s">
        <v>626</v>
      </c>
      <c r="D83" s="10"/>
      <c r="E83" s="9" t="s">
        <v>627</v>
      </c>
      <c r="F83" s="1">
        <v>2</v>
      </c>
      <c r="G83" s="1">
        <f t="shared" si="2"/>
        <v>50</v>
      </c>
      <c r="H83" s="1" t="str">
        <f t="shared" si="3"/>
        <v>insert into catInformation select 181,'Antiguedad ant empleo/negocio: (Years*12)+ Months ',0,2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9">
        <v>182</v>
      </c>
      <c r="B84" s="9" t="s">
        <v>628</v>
      </c>
      <c r="C84" s="18" t="s">
        <v>629</v>
      </c>
      <c r="D84" s="10"/>
      <c r="E84" s="9" t="s">
        <v>630</v>
      </c>
      <c r="F84" s="1">
        <v>1</v>
      </c>
      <c r="G84" s="1">
        <f t="shared" si="2"/>
        <v>30</v>
      </c>
      <c r="H84" s="1" t="str">
        <f t="shared" si="3"/>
        <v>insert into catInformation select 182,'Sector Economico de la Empresa',0,1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9">
        <v>183</v>
      </c>
      <c r="B85" s="9" t="s">
        <v>631</v>
      </c>
      <c r="C85" s="18" t="s">
        <v>632</v>
      </c>
      <c r="D85" s="10"/>
      <c r="E85" s="9" t="s">
        <v>633</v>
      </c>
      <c r="F85" s="1">
        <v>2</v>
      </c>
      <c r="G85" s="1">
        <f t="shared" si="2"/>
        <v>33</v>
      </c>
      <c r="H85" s="1" t="str">
        <f t="shared" si="3"/>
        <v>insert into catInformation select 183,'Numero de empleados de la Empresa',0,2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9">
        <v>184</v>
      </c>
      <c r="B86" s="9" t="s">
        <v>634</v>
      </c>
      <c r="C86" s="18" t="s">
        <v>635</v>
      </c>
      <c r="D86" s="10"/>
      <c r="E86" s="9" t="s">
        <v>636</v>
      </c>
      <c r="F86" s="1">
        <v>2</v>
      </c>
      <c r="G86" s="1">
        <f t="shared" si="2"/>
        <v>32</v>
      </c>
      <c r="H86" s="1" t="str">
        <f t="shared" si="3"/>
        <v>insert into catInformation select 184,'Porcentaje de empleados con IMSS',0,2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9">
        <v>185</v>
      </c>
      <c r="B87" s="9" t="s">
        <v>637</v>
      </c>
      <c r="C87" s="18" t="s">
        <v>638</v>
      </c>
      <c r="D87" s="10"/>
      <c r="E87" s="9" t="s">
        <v>639</v>
      </c>
      <c r="F87" s="1">
        <v>2</v>
      </c>
      <c r="G87" s="1">
        <f t="shared" si="2"/>
        <v>45</v>
      </c>
      <c r="H87" s="1" t="str">
        <f t="shared" si="3"/>
        <v>insert into catInformation select 185,'Antiguedad en el sector o actividad economica',0,2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9">
        <v>186</v>
      </c>
      <c r="B88" s="9" t="s">
        <v>640</v>
      </c>
      <c r="C88" s="18" t="s">
        <v>641</v>
      </c>
      <c r="D88" s="10"/>
      <c r="E88" s="9" t="s">
        <v>642</v>
      </c>
      <c r="F88" s="1">
        <v>2</v>
      </c>
      <c r="G88" s="1">
        <f t="shared" si="2"/>
        <v>38</v>
      </c>
      <c r="H88" s="1" t="str">
        <f t="shared" si="3"/>
        <v>insert into catInformation select 186,'Antiguedad del cliente como empresario',0,2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9">
        <v>187</v>
      </c>
      <c r="B89" s="9" t="s">
        <v>643</v>
      </c>
      <c r="C89" s="18" t="s">
        <v>644</v>
      </c>
      <c r="D89" s="10"/>
      <c r="E89" s="9" t="s">
        <v>645</v>
      </c>
      <c r="F89" s="1">
        <v>1</v>
      </c>
      <c r="G89" s="1">
        <f t="shared" si="2"/>
        <v>34</v>
      </c>
      <c r="H89" s="1" t="str">
        <f t="shared" si="3"/>
        <v>insert into catInformation select 187,'Registro de la empresa en Hacienda',0,1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9">
        <v>188</v>
      </c>
      <c r="B90" s="9" t="s">
        <v>646</v>
      </c>
      <c r="C90" s="18" t="s">
        <v>647</v>
      </c>
      <c r="D90" s="10"/>
      <c r="E90" s="9" t="s">
        <v>648</v>
      </c>
      <c r="F90" s="1">
        <v>1</v>
      </c>
      <c r="G90" s="1">
        <f t="shared" si="2"/>
        <v>43</v>
      </c>
      <c r="H90" s="1" t="str">
        <f t="shared" si="3"/>
        <v>insert into catInformation select 188,'Etiqueta Registro de la empresa en Hacienda',0,1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9">
        <v>189</v>
      </c>
      <c r="B91" s="9" t="s">
        <v>649</v>
      </c>
      <c r="C91" s="18" t="s">
        <v>650</v>
      </c>
      <c r="D91" s="10"/>
      <c r="E91" s="9" t="s">
        <v>651</v>
      </c>
      <c r="F91" s="1">
        <v>1</v>
      </c>
      <c r="G91" s="1">
        <f t="shared" si="2"/>
        <v>45</v>
      </c>
      <c r="H91" s="1" t="str">
        <f t="shared" si="3"/>
        <v>insert into catInformation select 189,'Tipo de Productos que comercializa el negocio',0,1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9">
        <v>190</v>
      </c>
      <c r="B92" s="9" t="s">
        <v>652</v>
      </c>
      <c r="C92" s="18" t="s">
        <v>653</v>
      </c>
      <c r="D92" s="10"/>
      <c r="E92" s="9" t="s">
        <v>654</v>
      </c>
      <c r="F92" s="1">
        <v>1</v>
      </c>
      <c r="G92" s="1">
        <f t="shared" si="2"/>
        <v>40</v>
      </c>
      <c r="H92" s="1" t="str">
        <f t="shared" si="3"/>
        <v>insert into catInformation select 190,'Etiqueta Tipo Productos que comercializa',0,1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9">
        <v>191</v>
      </c>
      <c r="B93" s="9" t="s">
        <v>655</v>
      </c>
      <c r="C93" s="18" t="s">
        <v>656</v>
      </c>
      <c r="D93" s="10"/>
      <c r="E93" s="9" t="s">
        <v>657</v>
      </c>
      <c r="F93" s="1">
        <v>1</v>
      </c>
      <c r="G93" s="1">
        <f t="shared" si="2"/>
        <v>46</v>
      </c>
      <c r="H93" s="1" t="str">
        <f t="shared" si="3"/>
        <v>insert into catInformation select 191,'Descripcion del Sector Economico de la Empresa',0,1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9">
        <v>192</v>
      </c>
      <c r="B94" s="9" t="s">
        <v>658</v>
      </c>
      <c r="C94" s="18" t="s">
        <v>659</v>
      </c>
      <c r="D94" s="10"/>
      <c r="E94" s="9" t="s">
        <v>660</v>
      </c>
      <c r="F94" s="1">
        <v>1</v>
      </c>
      <c r="G94" s="1">
        <f t="shared" si="2"/>
        <v>50</v>
      </c>
      <c r="H94" s="1" t="str">
        <f t="shared" si="3"/>
        <v>insert into catInformation select 192,'Etiqueta Tipo Negocio (1.Nuevo, 2.Opera, 3.Reinic)',0,1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9">
        <v>193</v>
      </c>
      <c r="B95" s="9" t="s">
        <v>661</v>
      </c>
      <c r="C95" s="18" t="s">
        <v>662</v>
      </c>
      <c r="D95" s="10"/>
      <c r="E95" s="9" t="s">
        <v>663</v>
      </c>
      <c r="F95" s="1">
        <v>1</v>
      </c>
      <c r="G95" s="1">
        <f t="shared" si="2"/>
        <v>39</v>
      </c>
      <c r="H95" s="1" t="str">
        <f t="shared" si="3"/>
        <v>insert into catInformation select 193,'Tipo de Propiedad del Negocio / Trabajo',0,1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9">
        <v>194</v>
      </c>
      <c r="B96" s="9" t="s">
        <v>664</v>
      </c>
      <c r="C96" s="18" t="s">
        <v>665</v>
      </c>
      <c r="D96" s="10"/>
      <c r="E96" s="9" t="s">
        <v>666</v>
      </c>
      <c r="F96" s="1">
        <v>1</v>
      </c>
      <c r="G96" s="1">
        <f t="shared" si="2"/>
        <v>48</v>
      </c>
      <c r="H96" s="1" t="str">
        <f t="shared" si="3"/>
        <v>insert into catInformation select 194,'Etiqueta Tipo de Propiedad del Negocio / Trabajo',0,1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9">
        <v>195</v>
      </c>
      <c r="B97" s="19" t="s">
        <v>667</v>
      </c>
      <c r="C97" s="20" t="s">
        <v>668</v>
      </c>
      <c r="D97" s="10"/>
      <c r="E97" s="9" t="s">
        <v>669</v>
      </c>
      <c r="F97" s="1">
        <v>1</v>
      </c>
      <c r="G97" s="1">
        <f t="shared" si="2"/>
        <v>65</v>
      </c>
      <c r="H97" s="1" t="str">
        <f t="shared" si="3"/>
        <v>insert into catInformation select 195,'Fecha de Constitucion del Negocio/ Fecha Contratacion (Empleados)',0,1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9">
        <v>196</v>
      </c>
      <c r="B98" s="19" t="s">
        <v>670</v>
      </c>
      <c r="C98" s="20" t="s">
        <v>671</v>
      </c>
      <c r="D98" s="10"/>
      <c r="E98" s="9" t="s">
        <v>672</v>
      </c>
      <c r="F98" s="1">
        <v>2</v>
      </c>
      <c r="G98" s="1">
        <f t="shared" si="2"/>
        <v>18</v>
      </c>
      <c r="H98" s="1" t="str">
        <f t="shared" si="3"/>
        <v>insert into catInformation select 196,'Sueldo del Cliente',0,2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9">
        <v>197</v>
      </c>
      <c r="B99" s="19" t="s">
        <v>673</v>
      </c>
      <c r="C99" s="20" t="s">
        <v>674</v>
      </c>
      <c r="D99" s="10"/>
      <c r="E99" s="9" t="s">
        <v>675</v>
      </c>
      <c r="F99" s="1">
        <v>1</v>
      </c>
      <c r="G99" s="1">
        <f t="shared" si="2"/>
        <v>20</v>
      </c>
      <c r="H99" s="1" t="str">
        <f t="shared" si="3"/>
        <v>insert into catInformation select 197,'Puesto en el trabajo',0,1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9">
        <v>199</v>
      </c>
      <c r="B100" s="19" t="s">
        <v>676</v>
      </c>
      <c r="C100" s="20" t="s">
        <v>677</v>
      </c>
      <c r="D100" s="10"/>
      <c r="E100" s="9" t="s">
        <v>678</v>
      </c>
      <c r="F100" s="1"/>
      <c r="G100" s="1">
        <f t="shared" si="2"/>
        <v>12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4" t="s">
        <v>0</v>
      </c>
      <c r="B101" s="4" t="s">
        <v>1</v>
      </c>
      <c r="C101" s="3" t="s">
        <v>2</v>
      </c>
      <c r="D101" s="4"/>
      <c r="E101" s="4" t="s">
        <v>3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9">
        <v>201</v>
      </c>
      <c r="B102" s="9" t="s">
        <v>679</v>
      </c>
      <c r="C102" s="18" t="s">
        <v>680</v>
      </c>
      <c r="D102" s="10"/>
      <c r="E102" s="9" t="s">
        <v>85</v>
      </c>
      <c r="F102" s="1">
        <v>1</v>
      </c>
      <c r="G102" s="1">
        <f t="shared" ref="G102:G150" si="4">LEN(C102)</f>
        <v>73</v>
      </c>
      <c r="H102" s="1" t="str">
        <f t="shared" ref="H102:H150" si="5">CONCATENATE("insert into catInformation select ",A102,",'",C102,"',0,",F102)</f>
        <v>insert into catInformation select 201,'Clave de Tipo de Domicilio  (* ver anotación abajo para otros domicilios)',0,1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9">
        <v>202</v>
      </c>
      <c r="B103" s="9" t="s">
        <v>681</v>
      </c>
      <c r="C103" s="18" t="s">
        <v>86</v>
      </c>
      <c r="D103" s="10"/>
      <c r="E103" s="9" t="s">
        <v>87</v>
      </c>
      <c r="F103" s="1">
        <v>1</v>
      </c>
      <c r="G103" s="1">
        <f t="shared" si="4"/>
        <v>18</v>
      </c>
      <c r="H103" s="1" t="str">
        <f t="shared" si="5"/>
        <v>insert into catInformation select 202,'Tipo de Domicilio ',0,1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9">
        <v>203</v>
      </c>
      <c r="B104" s="9" t="s">
        <v>682</v>
      </c>
      <c r="C104" s="18" t="s">
        <v>88</v>
      </c>
      <c r="D104" s="10"/>
      <c r="E104" s="9" t="s">
        <v>89</v>
      </c>
      <c r="F104" s="1">
        <v>1</v>
      </c>
      <c r="G104" s="1">
        <f t="shared" si="4"/>
        <v>26</v>
      </c>
      <c r="H104" s="1" t="str">
        <f t="shared" si="5"/>
        <v>insert into catInformation select 203,'Clave de Tipo de Propiedad',0,1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9">
        <v>204</v>
      </c>
      <c r="B105" s="9" t="s">
        <v>683</v>
      </c>
      <c r="C105" s="18" t="s">
        <v>90</v>
      </c>
      <c r="D105" s="10"/>
      <c r="E105" s="9" t="s">
        <v>91</v>
      </c>
      <c r="F105" s="1">
        <v>1</v>
      </c>
      <c r="G105" s="1">
        <f t="shared" si="4"/>
        <v>17</v>
      </c>
      <c r="H105" s="1" t="str">
        <f t="shared" si="5"/>
        <v>insert into catInformation select 204,'Tipo de Propiedad',0,1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9">
        <v>205</v>
      </c>
      <c r="B106" s="9" t="s">
        <v>684</v>
      </c>
      <c r="C106" s="18" t="s">
        <v>92</v>
      </c>
      <c r="D106" s="10"/>
      <c r="E106" s="9" t="s">
        <v>93</v>
      </c>
      <c r="F106" s="1">
        <v>1</v>
      </c>
      <c r="G106" s="1">
        <f t="shared" si="4"/>
        <v>20</v>
      </c>
      <c r="H106" s="1" t="str">
        <f t="shared" si="5"/>
        <v>insert into catInformation select 205,'Calle del Acreditado',0,1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9">
        <v>206</v>
      </c>
      <c r="B107" s="9" t="s">
        <v>685</v>
      </c>
      <c r="C107" s="9" t="s">
        <v>686</v>
      </c>
      <c r="D107" s="10"/>
      <c r="E107" s="9" t="s">
        <v>94</v>
      </c>
      <c r="F107" s="1">
        <v>1</v>
      </c>
      <c r="G107" s="1">
        <f t="shared" si="4"/>
        <v>30</v>
      </c>
      <c r="H107" s="1" t="str">
        <f t="shared" si="5"/>
        <v>insert into catInformation select 206,'Numero exterior del Acreditado',0,1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9">
        <v>207</v>
      </c>
      <c r="B108" s="9" t="s">
        <v>687</v>
      </c>
      <c r="C108" s="9" t="s">
        <v>95</v>
      </c>
      <c r="D108" s="10"/>
      <c r="E108" s="9" t="s">
        <v>96</v>
      </c>
      <c r="F108" s="1">
        <v>1</v>
      </c>
      <c r="G108" s="1">
        <f t="shared" si="4"/>
        <v>30</v>
      </c>
      <c r="H108" s="1" t="str">
        <f t="shared" si="5"/>
        <v>insert into catInformation select 207,'Numero Interior del Acreditado',0,1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9">
        <v>208</v>
      </c>
      <c r="B109" s="9" t="s">
        <v>688</v>
      </c>
      <c r="C109" s="18" t="s">
        <v>97</v>
      </c>
      <c r="D109" s="10"/>
      <c r="E109" s="9" t="s">
        <v>98</v>
      </c>
      <c r="F109" s="1">
        <v>1</v>
      </c>
      <c r="G109" s="1">
        <f t="shared" si="4"/>
        <v>25</v>
      </c>
      <c r="H109" s="1" t="str">
        <f t="shared" si="5"/>
        <v>insert into catInformation select 208,'Cruzamiento del domicilio',0,1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9">
        <v>209</v>
      </c>
      <c r="B110" s="9" t="s">
        <v>689</v>
      </c>
      <c r="C110" s="9" t="s">
        <v>99</v>
      </c>
      <c r="D110" s="10"/>
      <c r="E110" s="9" t="s">
        <v>100</v>
      </c>
      <c r="F110" s="1">
        <v>1</v>
      </c>
      <c r="G110" s="1">
        <f t="shared" si="4"/>
        <v>22</v>
      </c>
      <c r="H110" s="1" t="str">
        <f t="shared" si="5"/>
        <v>insert into catInformation select 209,'Colonia del Acreditado',0,1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9">
        <v>210</v>
      </c>
      <c r="B111" s="9" t="s">
        <v>690</v>
      </c>
      <c r="C111" s="9" t="s">
        <v>691</v>
      </c>
      <c r="D111" s="10"/>
      <c r="E111" s="9" t="s">
        <v>101</v>
      </c>
      <c r="F111" s="1">
        <v>1</v>
      </c>
      <c r="G111" s="1">
        <f t="shared" si="4"/>
        <v>37</v>
      </c>
      <c r="H111" s="1" t="str">
        <f t="shared" si="5"/>
        <v>insert into catInformation select 210,'Localidad del Acreditado / Delegacion',0,1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9">
        <v>211</v>
      </c>
      <c r="B112" s="9" t="s">
        <v>692</v>
      </c>
      <c r="C112" s="9" t="s">
        <v>693</v>
      </c>
      <c r="D112" s="10"/>
      <c r="E112" s="9" t="s">
        <v>102</v>
      </c>
      <c r="F112" s="1">
        <v>1</v>
      </c>
      <c r="G112" s="1">
        <f t="shared" si="4"/>
        <v>34</v>
      </c>
      <c r="H112" s="1" t="str">
        <f t="shared" si="5"/>
        <v>insert into catInformation select 211,'Municipio / Ciudad del Acreditado ',0,1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9">
        <v>212</v>
      </c>
      <c r="B113" s="9" t="s">
        <v>694</v>
      </c>
      <c r="C113" s="9" t="s">
        <v>103</v>
      </c>
      <c r="D113" s="10"/>
      <c r="E113" s="9" t="s">
        <v>104</v>
      </c>
      <c r="F113" s="1">
        <v>1</v>
      </c>
      <c r="G113" s="1">
        <f t="shared" si="4"/>
        <v>32</v>
      </c>
      <c r="H113" s="1" t="str">
        <f t="shared" si="5"/>
        <v>insert into catInformation select 212,'Clave del estado de la republica',0,1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9">
        <v>213</v>
      </c>
      <c r="B114" s="9" t="s">
        <v>695</v>
      </c>
      <c r="C114" s="9" t="s">
        <v>105</v>
      </c>
      <c r="D114" s="10"/>
      <c r="E114" s="9" t="s">
        <v>106</v>
      </c>
      <c r="F114" s="1">
        <v>1</v>
      </c>
      <c r="G114" s="1">
        <f t="shared" si="4"/>
        <v>13</v>
      </c>
      <c r="H114" s="1" t="str">
        <f t="shared" si="5"/>
        <v>insert into catInformation select 213,'Clave de pais',0,1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9">
        <v>214</v>
      </c>
      <c r="B115" s="9" t="s">
        <v>696</v>
      </c>
      <c r="C115" s="9" t="s">
        <v>107</v>
      </c>
      <c r="D115" s="10"/>
      <c r="E115" s="9" t="s">
        <v>108</v>
      </c>
      <c r="F115" s="1">
        <v>1</v>
      </c>
      <c r="G115" s="1">
        <f t="shared" si="4"/>
        <v>13</v>
      </c>
      <c r="H115" s="1" t="str">
        <f t="shared" si="5"/>
        <v>insert into catInformation select 214,'Codigo Postal',0,1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9">
        <v>215</v>
      </c>
      <c r="B116" s="9" t="s">
        <v>697</v>
      </c>
      <c r="C116" s="9" t="s">
        <v>698</v>
      </c>
      <c r="D116" s="10"/>
      <c r="E116" s="9" t="s">
        <v>109</v>
      </c>
      <c r="F116" s="1">
        <v>1</v>
      </c>
      <c r="G116" s="1">
        <f t="shared" si="4"/>
        <v>27</v>
      </c>
      <c r="H116" s="1" t="str">
        <f t="shared" si="5"/>
        <v>insert into catInformation select 215,'Numero Telefonico, Telefono',0,1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9">
        <v>216</v>
      </c>
      <c r="B117" s="9" t="s">
        <v>699</v>
      </c>
      <c r="C117" s="9" t="s">
        <v>110</v>
      </c>
      <c r="D117" s="10"/>
      <c r="E117" s="9" t="s">
        <v>111</v>
      </c>
      <c r="F117" s="1">
        <v>1</v>
      </c>
      <c r="G117" s="1">
        <f t="shared" si="4"/>
        <v>25</v>
      </c>
      <c r="H117" s="1" t="str">
        <f t="shared" si="5"/>
        <v>insert into catInformation select 216,'Comentarios del domicilio',0,1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9">
        <v>217</v>
      </c>
      <c r="B118" s="9" t="s">
        <v>700</v>
      </c>
      <c r="C118" s="9" t="s">
        <v>112</v>
      </c>
      <c r="D118" s="10"/>
      <c r="E118" s="9" t="s">
        <v>113</v>
      </c>
      <c r="F118" s="1">
        <v>1</v>
      </c>
      <c r="G118" s="1">
        <f t="shared" si="4"/>
        <v>27</v>
      </c>
      <c r="H118" s="1" t="str">
        <f t="shared" si="5"/>
        <v>insert into catInformation select 217,'Tiempo de residencia (Anos)',0,1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9">
        <v>218</v>
      </c>
      <c r="B119" s="9" t="s">
        <v>701</v>
      </c>
      <c r="C119" s="9" t="s">
        <v>114</v>
      </c>
      <c r="D119" s="10"/>
      <c r="E119" s="9" t="s">
        <v>115</v>
      </c>
      <c r="F119" s="1">
        <v>1</v>
      </c>
      <c r="G119" s="1">
        <f t="shared" si="4"/>
        <v>28</v>
      </c>
      <c r="H119" s="1" t="str">
        <f t="shared" si="5"/>
        <v>insert into catInformation select 218,'Tiempo de residencia (Meses)',0,1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9">
        <v>219</v>
      </c>
      <c r="B120" s="9" t="s">
        <v>702</v>
      </c>
      <c r="C120" s="9" t="s">
        <v>116</v>
      </c>
      <c r="D120" s="10"/>
      <c r="E120" s="9" t="s">
        <v>117</v>
      </c>
      <c r="F120" s="1">
        <v>1</v>
      </c>
      <c r="G120" s="1">
        <f t="shared" si="4"/>
        <v>37</v>
      </c>
      <c r="H120" s="1" t="str">
        <f t="shared" si="5"/>
        <v>insert into catInformation select 219,'Bandera de verificacion del domicilio',0,1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9">
        <v>220</v>
      </c>
      <c r="B121" s="9" t="s">
        <v>703</v>
      </c>
      <c r="C121" s="9" t="s">
        <v>118</v>
      </c>
      <c r="D121" s="10"/>
      <c r="E121" s="9" t="s">
        <v>119</v>
      </c>
      <c r="F121" s="1">
        <v>1</v>
      </c>
      <c r="G121" s="1">
        <f t="shared" si="4"/>
        <v>46</v>
      </c>
      <c r="H121" s="1" t="str">
        <f t="shared" si="5"/>
        <v>insert into catInformation select 220,'Etiqueta Bandera de verificacion del domicilio',0,1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9">
        <v>221</v>
      </c>
      <c r="B122" s="9" t="s">
        <v>704</v>
      </c>
      <c r="C122" s="9" t="s">
        <v>120</v>
      </c>
      <c r="D122" s="10"/>
      <c r="E122" s="9" t="s">
        <v>121</v>
      </c>
      <c r="F122" s="1">
        <v>1</v>
      </c>
      <c r="G122" s="1">
        <f t="shared" si="4"/>
        <v>32</v>
      </c>
      <c r="H122" s="1" t="str">
        <f t="shared" si="5"/>
        <v>insert into catInformation select 221,'Direccion completa del domicilio',0,1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9">
        <v>222</v>
      </c>
      <c r="B123" s="9" t="s">
        <v>705</v>
      </c>
      <c r="C123" s="9" t="s">
        <v>122</v>
      </c>
      <c r="D123" s="10"/>
      <c r="E123" s="9" t="s">
        <v>123</v>
      </c>
      <c r="F123" s="1">
        <v>1</v>
      </c>
      <c r="G123" s="1">
        <f t="shared" si="4"/>
        <v>36</v>
      </c>
      <c r="H123" s="1" t="str">
        <f t="shared" si="5"/>
        <v>insert into catInformation select 222,'Descripcion del estado del domicilio',0,1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9">
        <v>223</v>
      </c>
      <c r="B124" s="9" t="s">
        <v>706</v>
      </c>
      <c r="C124" s="9" t="s">
        <v>124</v>
      </c>
      <c r="D124" s="10"/>
      <c r="E124" s="9" t="s">
        <v>125</v>
      </c>
      <c r="F124" s="1">
        <v>1</v>
      </c>
      <c r="G124" s="1">
        <f t="shared" si="4"/>
        <v>34</v>
      </c>
      <c r="H124" s="1" t="str">
        <f t="shared" si="5"/>
        <v>insert into catInformation select 223,'Descripcion del pais del domicilio',0,1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9">
        <v>224</v>
      </c>
      <c r="B125" s="9" t="s">
        <v>707</v>
      </c>
      <c r="C125" s="9" t="s">
        <v>708</v>
      </c>
      <c r="D125" s="10"/>
      <c r="E125" s="9" t="s">
        <v>126</v>
      </c>
      <c r="F125" s="1">
        <v>1</v>
      </c>
      <c r="G125" s="1">
        <f t="shared" si="4"/>
        <v>49</v>
      </c>
      <c r="H125" s="1" t="str">
        <f t="shared" si="5"/>
        <v>insert into catInformation select 224,'Direccion corta domicilio (Calle Num Ext Num Int)',0,1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9">
        <v>225</v>
      </c>
      <c r="B126" s="9" t="s">
        <v>709</v>
      </c>
      <c r="C126" s="9" t="s">
        <v>710</v>
      </c>
      <c r="D126" s="10"/>
      <c r="E126" s="9" t="s">
        <v>711</v>
      </c>
      <c r="F126" s="1">
        <v>2</v>
      </c>
      <c r="G126" s="1">
        <f t="shared" si="4"/>
        <v>28</v>
      </c>
      <c r="H126" s="1" t="str">
        <f t="shared" si="5"/>
        <v>insert into catInformation select 225,'Tiempo residencia (en Meses)',0,2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9">
        <v>226</v>
      </c>
      <c r="B127" s="9" t="s">
        <v>712</v>
      </c>
      <c r="C127" s="9" t="s">
        <v>713</v>
      </c>
      <c r="D127" s="10"/>
      <c r="E127" s="9" t="s">
        <v>714</v>
      </c>
      <c r="F127" s="1">
        <v>2</v>
      </c>
      <c r="G127" s="1">
        <f t="shared" si="4"/>
        <v>50</v>
      </c>
      <c r="H127" s="1" t="str">
        <f t="shared" si="5"/>
        <v>insert into catInformation select 226,'Tiempo de residencia (Meses) en domicilio anterior',0,2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9">
        <v>227</v>
      </c>
      <c r="B128" s="9" t="s">
        <v>715</v>
      </c>
      <c r="C128" s="9" t="s">
        <v>716</v>
      </c>
      <c r="D128" s="10"/>
      <c r="E128" s="9" t="s">
        <v>717</v>
      </c>
      <c r="F128" s="1">
        <v>2</v>
      </c>
      <c r="G128" s="1">
        <f t="shared" si="4"/>
        <v>49</v>
      </c>
      <c r="H128" s="1" t="str">
        <f t="shared" si="5"/>
        <v>insert into catInformation select 227,'Arraigo (Meses) en localidad del domicilio actual',0,2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2">
        <v>228</v>
      </c>
      <c r="B129" s="12" t="s">
        <v>718</v>
      </c>
      <c r="C129" s="12" t="s">
        <v>719</v>
      </c>
      <c r="D129" s="21"/>
      <c r="E129" s="12" t="s">
        <v>720</v>
      </c>
      <c r="F129" s="1">
        <v>1</v>
      </c>
      <c r="G129" s="1">
        <f t="shared" si="4"/>
        <v>41</v>
      </c>
      <c r="H129" s="1" t="str">
        <f t="shared" si="5"/>
        <v>insert into catInformation select 228,'Direccion completa del domicilio anterior',0,1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9">
        <v>250</v>
      </c>
      <c r="B130" s="9" t="s">
        <v>721</v>
      </c>
      <c r="C130" s="9" t="s">
        <v>722</v>
      </c>
      <c r="D130" s="10"/>
      <c r="E130" s="9" t="s">
        <v>723</v>
      </c>
      <c r="F130" s="1">
        <v>2</v>
      </c>
      <c r="G130" s="1">
        <f t="shared" si="4"/>
        <v>44</v>
      </c>
      <c r="H130" s="1" t="str">
        <f t="shared" si="5"/>
        <v>insert into catInformation select 250,'Numero de Referencias Personales Verificadas',0,2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9">
        <v>251</v>
      </c>
      <c r="B131" s="9" t="s">
        <v>724</v>
      </c>
      <c r="C131" s="9" t="s">
        <v>725</v>
      </c>
      <c r="D131" s="10"/>
      <c r="E131" s="9" t="s">
        <v>726</v>
      </c>
      <c r="F131" s="1">
        <v>1</v>
      </c>
      <c r="G131" s="1">
        <f t="shared" si="4"/>
        <v>41</v>
      </c>
      <c r="H131" s="1" t="str">
        <f t="shared" si="5"/>
        <v>insert into catInformation select 251,'Resultado verificacion de Ref. Personales',0,1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9">
        <v>252</v>
      </c>
      <c r="B132" s="9" t="s">
        <v>727</v>
      </c>
      <c r="C132" s="9" t="s">
        <v>728</v>
      </c>
      <c r="D132" s="10"/>
      <c r="E132" s="9" t="s">
        <v>729</v>
      </c>
      <c r="F132" s="1">
        <v>1</v>
      </c>
      <c r="G132" s="1">
        <f t="shared" si="4"/>
        <v>50</v>
      </c>
      <c r="H132" s="1" t="str">
        <f t="shared" si="5"/>
        <v>insert into catInformation select 252,'Etiqueta Resultado verificacion de Ref. Personales',0,1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2">
        <v>253</v>
      </c>
      <c r="B133" s="12" t="s">
        <v>730</v>
      </c>
      <c r="C133" s="12" t="s">
        <v>731</v>
      </c>
      <c r="D133" s="10"/>
      <c r="E133" s="9" t="s">
        <v>732</v>
      </c>
      <c r="F133" s="1">
        <v>1</v>
      </c>
      <c r="G133" s="1">
        <f t="shared" si="4"/>
        <v>49</v>
      </c>
      <c r="H133" s="1" t="str">
        <f t="shared" si="5"/>
        <v>insert into catInformation select 253,'Nombre del Arrendador (Ref. Tipo Arrendador = 30)',0,1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2">
        <v>254</v>
      </c>
      <c r="B134" s="12" t="s">
        <v>733</v>
      </c>
      <c r="C134" s="12" t="s">
        <v>734</v>
      </c>
      <c r="D134" s="10"/>
      <c r="E134" s="9" t="s">
        <v>735</v>
      </c>
      <c r="F134" s="1">
        <v>1</v>
      </c>
      <c r="G134" s="1">
        <f t="shared" si="4"/>
        <v>23</v>
      </c>
      <c r="H134" s="1" t="str">
        <f t="shared" si="5"/>
        <v>insert into catInformation select 254,'Telefono del Arrendador',0,1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2">
        <v>255</v>
      </c>
      <c r="B135" s="12" t="s">
        <v>736</v>
      </c>
      <c r="C135" s="12" t="s">
        <v>737</v>
      </c>
      <c r="D135" s="10"/>
      <c r="E135" s="9" t="s">
        <v>738</v>
      </c>
      <c r="F135" s="1">
        <v>1</v>
      </c>
      <c r="G135" s="1">
        <f t="shared" si="4"/>
        <v>19</v>
      </c>
      <c r="H135" s="1" t="str">
        <f t="shared" si="5"/>
        <v>insert into catInformation select 255,'Telefono de recados',0,1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9">
        <v>258</v>
      </c>
      <c r="B136" s="9" t="s">
        <v>739</v>
      </c>
      <c r="C136" s="9" t="s">
        <v>740</v>
      </c>
      <c r="D136" s="10"/>
      <c r="E136" s="9" t="s">
        <v>741</v>
      </c>
      <c r="F136" s="1">
        <v>1</v>
      </c>
      <c r="G136" s="1">
        <f t="shared" si="4"/>
        <v>43</v>
      </c>
      <c r="H136" s="1" t="str">
        <f t="shared" si="5"/>
        <v>insert into catInformation select 258,'Etiqueta Recomendacion del Agente Operador ',0,1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9">
        <v>259</v>
      </c>
      <c r="B137" s="9" t="s">
        <v>742</v>
      </c>
      <c r="C137" s="9" t="s">
        <v>743</v>
      </c>
      <c r="D137" s="10"/>
      <c r="E137" s="9" t="s">
        <v>744</v>
      </c>
      <c r="F137" s="1">
        <v>1</v>
      </c>
      <c r="G137" s="1">
        <f t="shared" si="4"/>
        <v>34</v>
      </c>
      <c r="H137" s="1" t="str">
        <f t="shared" si="5"/>
        <v>insert into catInformation select 259,'Recomendacion del Agente Operador ',0,1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9">
        <v>260</v>
      </c>
      <c r="B138" s="9" t="s">
        <v>745</v>
      </c>
      <c r="C138" s="9" t="s">
        <v>746</v>
      </c>
      <c r="D138" s="10"/>
      <c r="E138" s="9" t="s">
        <v>747</v>
      </c>
      <c r="F138" s="1">
        <v>2</v>
      </c>
      <c r="G138" s="1">
        <f t="shared" si="4"/>
        <v>40</v>
      </c>
      <c r="H138" s="1" t="str">
        <f t="shared" si="5"/>
        <v>insert into catInformation select 260,'Numero de Referencias comerciales Tipo 1',0,2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9">
        <v>261</v>
      </c>
      <c r="B139" s="9" t="s">
        <v>748</v>
      </c>
      <c r="C139" s="9" t="s">
        <v>749</v>
      </c>
      <c r="D139" s="10"/>
      <c r="E139" s="9" t="s">
        <v>750</v>
      </c>
      <c r="F139" s="1">
        <v>1</v>
      </c>
      <c r="G139" s="1">
        <f t="shared" si="4"/>
        <v>50</v>
      </c>
      <c r="H139" s="1" t="str">
        <f t="shared" si="5"/>
        <v>insert into catInformation select 261,'Resultado verificac Referencias comerciales Tipo 1',0,1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9">
        <v>262</v>
      </c>
      <c r="B140" s="9" t="s">
        <v>751</v>
      </c>
      <c r="C140" s="9" t="s">
        <v>752</v>
      </c>
      <c r="D140" s="10"/>
      <c r="E140" s="9" t="s">
        <v>753</v>
      </c>
      <c r="F140" s="1">
        <v>2</v>
      </c>
      <c r="G140" s="1">
        <f t="shared" si="4"/>
        <v>40</v>
      </c>
      <c r="H140" s="1" t="str">
        <f t="shared" si="5"/>
        <v>insert into catInformation select 262,'Numero de Referencias comerciales Tipo 2',0,2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9">
        <v>263</v>
      </c>
      <c r="B141" s="9" t="s">
        <v>754</v>
      </c>
      <c r="C141" s="9" t="s">
        <v>755</v>
      </c>
      <c r="D141" s="10"/>
      <c r="E141" s="9" t="s">
        <v>756</v>
      </c>
      <c r="F141" s="1">
        <v>1</v>
      </c>
      <c r="G141" s="1">
        <f t="shared" si="4"/>
        <v>50</v>
      </c>
      <c r="H141" s="1" t="str">
        <f t="shared" si="5"/>
        <v>insert into catInformation select 263,'Resultado verificac Referencias comerciales Tipo 2',0,1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9">
        <v>264</v>
      </c>
      <c r="B142" s="9" t="s">
        <v>757</v>
      </c>
      <c r="C142" s="9" t="s">
        <v>758</v>
      </c>
      <c r="D142" s="10"/>
      <c r="E142" s="9" t="s">
        <v>759</v>
      </c>
      <c r="F142" s="1">
        <v>2</v>
      </c>
      <c r="G142" s="1">
        <f t="shared" si="4"/>
        <v>40</v>
      </c>
      <c r="H142" s="1" t="str">
        <f t="shared" si="5"/>
        <v>insert into catInformation select 264,'Numero de Referencias comerciales Tipo 3',0,2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9">
        <v>265</v>
      </c>
      <c r="B143" s="9" t="s">
        <v>760</v>
      </c>
      <c r="C143" s="9" t="s">
        <v>761</v>
      </c>
      <c r="D143" s="10"/>
      <c r="E143" s="9" t="s">
        <v>762</v>
      </c>
      <c r="F143" s="1">
        <v>1</v>
      </c>
      <c r="G143" s="1">
        <f t="shared" si="4"/>
        <v>50</v>
      </c>
      <c r="H143" s="1" t="str">
        <f t="shared" si="5"/>
        <v>insert into catInformation select 265,'Resultado verificac Referencias comerciales Tipo 3',0,1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9">
        <v>266</v>
      </c>
      <c r="B144" s="9" t="s">
        <v>763</v>
      </c>
      <c r="C144" s="9" t="s">
        <v>764</v>
      </c>
      <c r="D144" s="10"/>
      <c r="E144" s="9" t="s">
        <v>765</v>
      </c>
      <c r="F144" s="1">
        <v>2</v>
      </c>
      <c r="G144" s="1">
        <f t="shared" si="4"/>
        <v>40</v>
      </c>
      <c r="H144" s="1" t="str">
        <f t="shared" si="5"/>
        <v>insert into catInformation select 266,'Numero Total de Referencias comerciales ',0,2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9">
        <v>267</v>
      </c>
      <c r="B145" s="9" t="s">
        <v>766</v>
      </c>
      <c r="C145" s="9" t="s">
        <v>767</v>
      </c>
      <c r="D145" s="10"/>
      <c r="E145" s="9" t="s">
        <v>768</v>
      </c>
      <c r="F145" s="1">
        <v>1</v>
      </c>
      <c r="G145" s="1">
        <f t="shared" si="4"/>
        <v>50</v>
      </c>
      <c r="H145" s="1" t="str">
        <f t="shared" si="5"/>
        <v>insert into catInformation select 267,'Resultado de verificacion Referencias comerciales ',0,1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9">
        <v>268</v>
      </c>
      <c r="B146" s="9" t="s">
        <v>769</v>
      </c>
      <c r="C146" s="9" t="s">
        <v>770</v>
      </c>
      <c r="D146" s="10"/>
      <c r="E146" s="9" t="s">
        <v>771</v>
      </c>
      <c r="F146" s="1">
        <v>1</v>
      </c>
      <c r="G146" s="1">
        <f t="shared" si="4"/>
        <v>46</v>
      </c>
      <c r="H146" s="1" t="str">
        <f t="shared" si="5"/>
        <v>insert into catInformation select 268,'Etiqueta Resultado verificac Ref. comerciales ',0,1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9">
        <v>271</v>
      </c>
      <c r="B147" s="9" t="s">
        <v>772</v>
      </c>
      <c r="C147" s="9" t="s">
        <v>773</v>
      </c>
      <c r="D147" s="10"/>
      <c r="E147" s="9" t="s">
        <v>774</v>
      </c>
      <c r="F147" s="1">
        <v>1</v>
      </c>
      <c r="G147" s="1">
        <f t="shared" si="4"/>
        <v>44</v>
      </c>
      <c r="H147" s="1" t="str">
        <f t="shared" si="5"/>
        <v>insert into catInformation select 271,'Resultado de la calificacion de Buro Interno',0,1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9">
        <v>272</v>
      </c>
      <c r="B148" s="9" t="s">
        <v>775</v>
      </c>
      <c r="C148" s="9" t="s">
        <v>776</v>
      </c>
      <c r="D148" s="10"/>
      <c r="E148" s="9" t="s">
        <v>777</v>
      </c>
      <c r="F148" s="1">
        <v>1</v>
      </c>
      <c r="G148" s="1">
        <f t="shared" si="4"/>
        <v>37</v>
      </c>
      <c r="H148" s="1" t="str">
        <f t="shared" si="5"/>
        <v>insert into catInformation select 272,'Etiqueta Calificacion de Buro Interno',0,1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9">
        <v>281</v>
      </c>
      <c r="B149" s="9" t="s">
        <v>778</v>
      </c>
      <c r="C149" s="9" t="s">
        <v>779</v>
      </c>
      <c r="D149" s="10"/>
      <c r="E149" s="9" t="s">
        <v>780</v>
      </c>
      <c r="F149" s="1">
        <v>1</v>
      </c>
      <c r="G149" s="1">
        <f t="shared" si="4"/>
        <v>44</v>
      </c>
      <c r="H149" s="1" t="str">
        <f t="shared" si="5"/>
        <v>insert into catInformation select 281,'Resultado de la calificacion de Buro Externo',0,1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9">
        <v>282</v>
      </c>
      <c r="B150" s="9" t="s">
        <v>781</v>
      </c>
      <c r="C150" s="9" t="s">
        <v>782</v>
      </c>
      <c r="D150" s="10"/>
      <c r="E150" s="9" t="s">
        <v>783</v>
      </c>
      <c r="F150" s="1">
        <v>1</v>
      </c>
      <c r="G150" s="1">
        <f t="shared" si="4"/>
        <v>37</v>
      </c>
      <c r="H150" s="1" t="str">
        <f t="shared" si="5"/>
        <v>insert into catInformation select 282,'Etiqueta Calificacion de Buro Externo',0,1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9"/>
      <c r="B151" s="9" t="s">
        <v>784</v>
      </c>
      <c r="C151" s="9" t="s">
        <v>785</v>
      </c>
      <c r="D151" s="10" t="s">
        <v>786</v>
      </c>
      <c r="E151" s="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4" t="s">
        <v>0</v>
      </c>
      <c r="B152" s="4" t="s">
        <v>1</v>
      </c>
      <c r="C152" s="3" t="s">
        <v>2</v>
      </c>
      <c r="D152" s="4"/>
      <c r="E152" s="4" t="s">
        <v>3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9">
        <v>300</v>
      </c>
      <c r="B153" s="9" t="s">
        <v>787</v>
      </c>
      <c r="C153" s="9" t="s">
        <v>127</v>
      </c>
      <c r="D153" s="10"/>
      <c r="E153" s="9" t="s">
        <v>128</v>
      </c>
      <c r="F153" s="1">
        <v>1</v>
      </c>
      <c r="G153" s="1">
        <f t="shared" ref="G153:G252" si="6">LEN(C153)</f>
        <v>18</v>
      </c>
      <c r="H153" s="1" t="str">
        <f t="shared" ref="H153:H252" si="7">CONCATENATE("insert into catInformation select ",A153,",'",C153,"',0,",F153)</f>
        <v>insert into catInformation select 300,'ID de la solicitud',0,1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9">
        <v>301</v>
      </c>
      <c r="B154" s="9" t="s">
        <v>788</v>
      </c>
      <c r="C154" s="9" t="s">
        <v>129</v>
      </c>
      <c r="D154" s="10"/>
      <c r="E154" s="9" t="s">
        <v>130</v>
      </c>
      <c r="F154" s="1">
        <v>1</v>
      </c>
      <c r="G154" s="1">
        <f t="shared" si="6"/>
        <v>40</v>
      </c>
      <c r="H154" s="1" t="str">
        <f t="shared" si="7"/>
        <v>insert into catInformation select 301,'Clave del Estatus actual de la solicitud',0,1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9">
        <v>302</v>
      </c>
      <c r="B155" s="9" t="s">
        <v>789</v>
      </c>
      <c r="C155" s="9" t="s">
        <v>131</v>
      </c>
      <c r="D155" s="10"/>
      <c r="E155" s="9" t="s">
        <v>132</v>
      </c>
      <c r="F155" s="1">
        <v>1</v>
      </c>
      <c r="G155" s="1">
        <f t="shared" si="6"/>
        <v>46</v>
      </c>
      <c r="H155" s="1" t="str">
        <f t="shared" si="7"/>
        <v>insert into catInformation select 302,'Descripcion del Estatus actual de la solicitud',0,1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9">
        <v>303</v>
      </c>
      <c r="B156" s="9" t="s">
        <v>790</v>
      </c>
      <c r="C156" s="9" t="s">
        <v>791</v>
      </c>
      <c r="D156" s="10"/>
      <c r="E156" s="9" t="s">
        <v>133</v>
      </c>
      <c r="F156" s="1">
        <v>1</v>
      </c>
      <c r="G156" s="1">
        <f t="shared" si="6"/>
        <v>49</v>
      </c>
      <c r="H156" s="1" t="str">
        <f t="shared" si="7"/>
        <v>insert into catInformation select 303,'Numero de referencia de solicitud-Numero contrato',0,1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9">
        <v>304</v>
      </c>
      <c r="B157" s="9" t="s">
        <v>792</v>
      </c>
      <c r="C157" s="9" t="s">
        <v>134</v>
      </c>
      <c r="D157" s="10"/>
      <c r="E157" s="9" t="s">
        <v>135</v>
      </c>
      <c r="F157" s="1">
        <v>1</v>
      </c>
      <c r="G157" s="1">
        <f t="shared" si="6"/>
        <v>45</v>
      </c>
      <c r="H157" s="1" t="str">
        <f t="shared" si="7"/>
        <v>insert into catInformation select 304,'Clave del Motivo o subestatus de la solicitud',0,1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9">
        <v>305</v>
      </c>
      <c r="B158" s="9" t="s">
        <v>793</v>
      </c>
      <c r="C158" s="9" t="s">
        <v>794</v>
      </c>
      <c r="D158" s="10"/>
      <c r="E158" s="9" t="s">
        <v>136</v>
      </c>
      <c r="F158" s="1">
        <v>1</v>
      </c>
      <c r="G158" s="1">
        <f t="shared" si="6"/>
        <v>47</v>
      </c>
      <c r="H158" s="1" t="str">
        <f t="shared" si="7"/>
        <v>insert into catInformation select 305,'Descripcion Motivo o subestatus de la solicitud',0,1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9">
        <v>306</v>
      </c>
      <c r="B159" s="9" t="s">
        <v>795</v>
      </c>
      <c r="C159" s="9" t="s">
        <v>137</v>
      </c>
      <c r="D159" s="10"/>
      <c r="E159" s="9" t="s">
        <v>138</v>
      </c>
      <c r="F159" s="1">
        <v>1</v>
      </c>
      <c r="G159" s="1">
        <f t="shared" si="6"/>
        <v>33</v>
      </c>
      <c r="H159" s="1" t="str">
        <f t="shared" si="7"/>
        <v>insert into catInformation select 306,'Ultimo comentario de la solicitud',0,1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9">
        <v>307</v>
      </c>
      <c r="B160" s="9" t="s">
        <v>796</v>
      </c>
      <c r="C160" s="9" t="s">
        <v>139</v>
      </c>
      <c r="D160" s="10"/>
      <c r="E160" s="9" t="s">
        <v>140</v>
      </c>
      <c r="F160" s="1">
        <v>2</v>
      </c>
      <c r="G160" s="1">
        <f t="shared" si="6"/>
        <v>16</v>
      </c>
      <c r="H160" s="1" t="str">
        <f t="shared" si="7"/>
        <v>insert into catInformation select 307,'Monto Solicitado',0,2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9">
        <v>308</v>
      </c>
      <c r="B161" s="9" t="s">
        <v>797</v>
      </c>
      <c r="C161" s="9" t="s">
        <v>141</v>
      </c>
      <c r="D161" s="10"/>
      <c r="E161" s="9" t="s">
        <v>142</v>
      </c>
      <c r="F161" s="1">
        <v>1</v>
      </c>
      <c r="G161" s="1">
        <f t="shared" si="6"/>
        <v>38</v>
      </c>
      <c r="H161" s="1" t="str">
        <f t="shared" si="7"/>
        <v>insert into catInformation select 308,'Indentificador externo de la solicitud',0,1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9">
        <v>309</v>
      </c>
      <c r="B162" s="9" t="s">
        <v>798</v>
      </c>
      <c r="C162" s="9" t="s">
        <v>143</v>
      </c>
      <c r="D162" s="10"/>
      <c r="E162" s="9" t="s">
        <v>144</v>
      </c>
      <c r="F162" s="1">
        <v>1</v>
      </c>
      <c r="G162" s="1">
        <f t="shared" si="6"/>
        <v>35</v>
      </c>
      <c r="H162" s="1" t="str">
        <f t="shared" si="7"/>
        <v>insert into catInformation select 309,'Referencia del contrato sin guiones',0,1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9">
        <v>310</v>
      </c>
      <c r="B163" s="9" t="s">
        <v>799</v>
      </c>
      <c r="C163" s="9" t="s">
        <v>800</v>
      </c>
      <c r="D163" s="10"/>
      <c r="E163" s="9" t="s">
        <v>145</v>
      </c>
      <c r="F163" s="1">
        <v>2</v>
      </c>
      <c r="G163" s="1">
        <f t="shared" si="6"/>
        <v>39</v>
      </c>
      <c r="H163" s="1" t="str">
        <f t="shared" si="7"/>
        <v>insert into catInformation select 310,'Numero de Pagos de la solicitud (Plazo)',0,2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9">
        <v>311</v>
      </c>
      <c r="B164" s="9" t="s">
        <v>801</v>
      </c>
      <c r="C164" s="9" t="s">
        <v>146</v>
      </c>
      <c r="D164" s="10"/>
      <c r="E164" s="9" t="s">
        <v>147</v>
      </c>
      <c r="F164" s="1">
        <v>1</v>
      </c>
      <c r="G164" s="1">
        <f t="shared" si="6"/>
        <v>25</v>
      </c>
      <c r="H164" s="1" t="str">
        <f t="shared" si="7"/>
        <v>insert into catInformation select 311,'Numero de pagos en letras',0,1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9">
        <v>312</v>
      </c>
      <c r="B165" s="9" t="s">
        <v>802</v>
      </c>
      <c r="C165" s="9" t="s">
        <v>148</v>
      </c>
      <c r="D165" s="10"/>
      <c r="E165" s="9" t="s">
        <v>149</v>
      </c>
      <c r="F165" s="1">
        <v>1</v>
      </c>
      <c r="G165" s="1">
        <f t="shared" si="6"/>
        <v>22</v>
      </c>
      <c r="H165" s="1" t="str">
        <f t="shared" si="7"/>
        <v>insert into catInformation select 312,'Gerente de la sucursal',0,1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9">
        <v>313</v>
      </c>
      <c r="B166" s="9" t="s">
        <v>803</v>
      </c>
      <c r="C166" s="18" t="s">
        <v>150</v>
      </c>
      <c r="D166" s="10"/>
      <c r="E166" s="9" t="s">
        <v>151</v>
      </c>
      <c r="F166" s="1">
        <v>1</v>
      </c>
      <c r="G166" s="1">
        <f t="shared" si="6"/>
        <v>23</v>
      </c>
      <c r="H166" s="1" t="str">
        <f t="shared" si="7"/>
        <v>insert into catInformation select 313,'Nombre del coacredidato',0,1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9">
        <v>314</v>
      </c>
      <c r="B167" s="9" t="s">
        <v>804</v>
      </c>
      <c r="C167" s="18" t="s">
        <v>805</v>
      </c>
      <c r="D167" s="10"/>
      <c r="E167" s="9" t="s">
        <v>152</v>
      </c>
      <c r="F167" s="1">
        <v>1</v>
      </c>
      <c r="G167" s="1">
        <f t="shared" si="6"/>
        <v>47</v>
      </c>
      <c r="H167" s="1" t="str">
        <f t="shared" si="7"/>
        <v>insert into catInformation select 314,'Nombre del Aval. Para Grupales todos los avales',0,1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9">
        <v>315</v>
      </c>
      <c r="B168" s="9" t="s">
        <v>806</v>
      </c>
      <c r="C168" s="18" t="s">
        <v>153</v>
      </c>
      <c r="D168" s="10"/>
      <c r="E168" s="9" t="s">
        <v>154</v>
      </c>
      <c r="F168" s="1">
        <v>2</v>
      </c>
      <c r="G168" s="1">
        <f t="shared" si="6"/>
        <v>25</v>
      </c>
      <c r="H168" s="1" t="str">
        <f t="shared" si="7"/>
        <v>insert into catInformation select 315,'Porcentaje del CAT Numero',0,2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9">
        <v>316</v>
      </c>
      <c r="B169" s="9" t="s">
        <v>807</v>
      </c>
      <c r="C169" s="18" t="s">
        <v>155</v>
      </c>
      <c r="D169" s="10"/>
      <c r="E169" s="9" t="s">
        <v>156</v>
      </c>
      <c r="F169" s="1">
        <v>2</v>
      </c>
      <c r="G169" s="1">
        <f t="shared" si="6"/>
        <v>16</v>
      </c>
      <c r="H169" s="1" t="str">
        <f t="shared" si="7"/>
        <v>insert into catInformation select 316,'Monto Autorizado',0,2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9">
        <v>317</v>
      </c>
      <c r="B170" s="9" t="s">
        <v>808</v>
      </c>
      <c r="C170" s="18" t="s">
        <v>157</v>
      </c>
      <c r="D170" s="10"/>
      <c r="E170" s="9" t="s">
        <v>158</v>
      </c>
      <c r="F170" s="1">
        <v>2</v>
      </c>
      <c r="G170" s="1">
        <f t="shared" si="6"/>
        <v>32</v>
      </c>
      <c r="H170" s="1" t="str">
        <f t="shared" si="7"/>
        <v>insert into catInformation select 317,'Tasa de Interes Ordinario Numero',0,2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9">
        <v>318</v>
      </c>
      <c r="B171" s="9" t="s">
        <v>809</v>
      </c>
      <c r="C171" s="18" t="s">
        <v>159</v>
      </c>
      <c r="D171" s="10"/>
      <c r="E171" s="9" t="s">
        <v>160</v>
      </c>
      <c r="F171" s="1">
        <v>2</v>
      </c>
      <c r="G171" s="1">
        <f t="shared" si="6"/>
        <v>28</v>
      </c>
      <c r="H171" s="1" t="str">
        <f t="shared" si="7"/>
        <v>insert into catInformation select 318,'Tasa para cargos de cobranza',0,2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9">
        <v>319</v>
      </c>
      <c r="B172" s="9" t="s">
        <v>810</v>
      </c>
      <c r="C172" s="18" t="s">
        <v>161</v>
      </c>
      <c r="D172" s="10"/>
      <c r="E172" s="9" t="s">
        <v>162</v>
      </c>
      <c r="F172" s="1">
        <v>2</v>
      </c>
      <c r="G172" s="1">
        <f t="shared" si="6"/>
        <v>29</v>
      </c>
      <c r="H172" s="1" t="str">
        <f t="shared" si="7"/>
        <v>insert into catInformation select 319,'Porcentaje de Comision Numero',0,2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9">
        <v>320</v>
      </c>
      <c r="B173" s="9" t="s">
        <v>811</v>
      </c>
      <c r="C173" s="18" t="s">
        <v>812</v>
      </c>
      <c r="D173" s="10"/>
      <c r="E173" s="9" t="s">
        <v>163</v>
      </c>
      <c r="F173" s="1">
        <v>2</v>
      </c>
      <c r="G173" s="1">
        <f t="shared" si="6"/>
        <v>28</v>
      </c>
      <c r="H173" s="1" t="str">
        <f t="shared" si="7"/>
        <v>insert into catInformation select 320,'Monto de Pago Numero (Cuota)',0,2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9">
        <v>321</v>
      </c>
      <c r="B174" s="9" t="s">
        <v>813</v>
      </c>
      <c r="C174" s="18" t="s">
        <v>814</v>
      </c>
      <c r="D174" s="10"/>
      <c r="E174" s="9" t="s">
        <v>164</v>
      </c>
      <c r="F174" s="1">
        <v>2</v>
      </c>
      <c r="G174" s="1">
        <f t="shared" si="6"/>
        <v>25</v>
      </c>
      <c r="H174" s="1" t="str">
        <f t="shared" si="7"/>
        <v>insert into catInformation select 321,'Numero de Pagos Mensuales',0,2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9">
        <v>322</v>
      </c>
      <c r="B175" s="9" t="s">
        <v>815</v>
      </c>
      <c r="C175" s="18" t="s">
        <v>165</v>
      </c>
      <c r="D175" s="10"/>
      <c r="E175" s="9" t="s">
        <v>166</v>
      </c>
      <c r="F175" s="1">
        <v>1</v>
      </c>
      <c r="G175" s="1">
        <f t="shared" si="6"/>
        <v>18</v>
      </c>
      <c r="H175" s="1" t="str">
        <f t="shared" si="7"/>
        <v>insert into catInformation select 322,'Frecuencia de Pago',0,1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9">
        <v>323</v>
      </c>
      <c r="B176" s="9" t="s">
        <v>816</v>
      </c>
      <c r="C176" s="18" t="s">
        <v>167</v>
      </c>
      <c r="D176" s="10"/>
      <c r="E176" s="9" t="s">
        <v>168</v>
      </c>
      <c r="F176" s="1">
        <v>1</v>
      </c>
      <c r="G176" s="1">
        <f t="shared" si="6"/>
        <v>26</v>
      </c>
      <c r="H176" s="1" t="str">
        <f t="shared" si="7"/>
        <v>insert into catInformation select 323,'Monto autorizado en letras',0,1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9">
        <v>324</v>
      </c>
      <c r="B177" s="9" t="s">
        <v>817</v>
      </c>
      <c r="C177" s="18" t="s">
        <v>169</v>
      </c>
      <c r="D177" s="10"/>
      <c r="E177" s="9" t="s">
        <v>170</v>
      </c>
      <c r="F177" s="1">
        <v>1</v>
      </c>
      <c r="G177" s="1">
        <f t="shared" si="6"/>
        <v>20</v>
      </c>
      <c r="H177" s="1" t="str">
        <f t="shared" si="7"/>
        <v>insert into catInformation select 324,'Fecha de Primer Pago',0,1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9">
        <v>325</v>
      </c>
      <c r="B178" s="9" t="s">
        <v>818</v>
      </c>
      <c r="C178" s="18" t="s">
        <v>171</v>
      </c>
      <c r="D178" s="10"/>
      <c r="E178" s="9" t="s">
        <v>172</v>
      </c>
      <c r="F178" s="1">
        <v>2</v>
      </c>
      <c r="G178" s="1">
        <f t="shared" si="6"/>
        <v>45</v>
      </c>
      <c r="H178" s="1" t="str">
        <f t="shared" si="7"/>
        <v>insert into catInformation select 325,'Monto del Credito Numero (Importe financiado)',0,2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9">
        <v>326</v>
      </c>
      <c r="B179" s="9" t="s">
        <v>819</v>
      </c>
      <c r="C179" s="18" t="s">
        <v>173</v>
      </c>
      <c r="D179" s="10"/>
      <c r="E179" s="9" t="s">
        <v>174</v>
      </c>
      <c r="F179" s="1">
        <v>2</v>
      </c>
      <c r="G179" s="1">
        <f t="shared" si="6"/>
        <v>45</v>
      </c>
      <c r="H179" s="1" t="str">
        <f t="shared" si="7"/>
        <v>insert into catInformation select 326,'Importe de intereses del credito IVA incluido',0,2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9">
        <v>327</v>
      </c>
      <c r="B180" s="9" t="s">
        <v>820</v>
      </c>
      <c r="C180" s="18" t="s">
        <v>175</v>
      </c>
      <c r="D180" s="10"/>
      <c r="E180" s="9" t="s">
        <v>176</v>
      </c>
      <c r="F180" s="1">
        <v>2</v>
      </c>
      <c r="G180" s="1">
        <f t="shared" si="6"/>
        <v>50</v>
      </c>
      <c r="H180" s="1" t="str">
        <f t="shared" si="7"/>
        <v>insert into catInformation select 327,'Importe de intereses del credito excluyendo su IVA',0,2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9">
        <v>328</v>
      </c>
      <c r="B181" s="9" t="s">
        <v>821</v>
      </c>
      <c r="C181" s="18" t="s">
        <v>822</v>
      </c>
      <c r="D181" s="10"/>
      <c r="E181" s="9" t="s">
        <v>177</v>
      </c>
      <c r="F181" s="1">
        <v>2</v>
      </c>
      <c r="G181" s="1">
        <f t="shared" si="6"/>
        <v>50</v>
      </c>
      <c r="H181" s="1" t="str">
        <f t="shared" si="7"/>
        <v>insert into catInformation select 328,'Suma de todos los pagos del credito (monto pagare)',0,2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9">
        <v>329</v>
      </c>
      <c r="B182" s="9" t="s">
        <v>823</v>
      </c>
      <c r="C182" s="18" t="s">
        <v>178</v>
      </c>
      <c r="D182" s="10"/>
      <c r="E182" s="9" t="s">
        <v>179</v>
      </c>
      <c r="F182" s="1">
        <v>1</v>
      </c>
      <c r="G182" s="1">
        <f t="shared" si="6"/>
        <v>33</v>
      </c>
      <c r="H182" s="1" t="str">
        <f t="shared" si="7"/>
        <v>insert into catInformation select 329,'Fecha del Estatus de la solicitud',0,1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9">
        <v>330</v>
      </c>
      <c r="B183" s="9" t="s">
        <v>824</v>
      </c>
      <c r="C183" s="18" t="s">
        <v>825</v>
      </c>
      <c r="D183" s="10"/>
      <c r="E183" s="9" t="s">
        <v>180</v>
      </c>
      <c r="F183" s="1">
        <v>1</v>
      </c>
      <c r="G183" s="1">
        <f t="shared" si="6"/>
        <v>29</v>
      </c>
      <c r="H183" s="1" t="str">
        <f t="shared" si="7"/>
        <v>insert into catInformation select 330,'Numero de Nomina o Afiliacion',0,1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9">
        <v>331</v>
      </c>
      <c r="B184" s="9" t="s">
        <v>826</v>
      </c>
      <c r="C184" s="18" t="s">
        <v>181</v>
      </c>
      <c r="D184" s="10"/>
      <c r="E184" s="9" t="s">
        <v>182</v>
      </c>
      <c r="F184" s="1">
        <v>1</v>
      </c>
      <c r="G184" s="1">
        <f t="shared" si="6"/>
        <v>15</v>
      </c>
      <c r="H184" s="1" t="str">
        <f t="shared" si="7"/>
        <v>insert into catInformation select 331,'Id del afiliado',0,1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9">
        <v>332</v>
      </c>
      <c r="B185" s="9" t="s">
        <v>827</v>
      </c>
      <c r="C185" s="18" t="s">
        <v>183</v>
      </c>
      <c r="D185" s="10"/>
      <c r="E185" s="9" t="s">
        <v>184</v>
      </c>
      <c r="F185" s="1">
        <v>1</v>
      </c>
      <c r="G185" s="1">
        <f t="shared" si="6"/>
        <v>24</v>
      </c>
      <c r="H185" s="1" t="str">
        <f t="shared" si="7"/>
        <v>insert into catInformation select 332,'Descripcion del afiliado',0,1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9">
        <v>333</v>
      </c>
      <c r="B186" s="9" t="s">
        <v>828</v>
      </c>
      <c r="C186" s="18" t="s">
        <v>185</v>
      </c>
      <c r="D186" s="10"/>
      <c r="E186" s="9" t="s">
        <v>186</v>
      </c>
      <c r="F186" s="1">
        <v>1</v>
      </c>
      <c r="G186" s="1">
        <f t="shared" si="6"/>
        <v>47</v>
      </c>
      <c r="H186" s="1" t="str">
        <f t="shared" si="7"/>
        <v>insert into catInformation select 333,'Identificador del vendedor o asesor de negocios',0,1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9">
        <v>334</v>
      </c>
      <c r="B187" s="9" t="s">
        <v>829</v>
      </c>
      <c r="C187" s="18" t="s">
        <v>187</v>
      </c>
      <c r="D187" s="10"/>
      <c r="E187" s="9" t="s">
        <v>188</v>
      </c>
      <c r="F187" s="1">
        <v>1</v>
      </c>
      <c r="G187" s="1">
        <f t="shared" si="6"/>
        <v>40</v>
      </c>
      <c r="H187" s="1" t="str">
        <f t="shared" si="7"/>
        <v>insert into catInformation select 334,'Nombre del vendedor o Asesor de Negocios',0,1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9">
        <v>335</v>
      </c>
      <c r="B188" s="9" t="s">
        <v>830</v>
      </c>
      <c r="C188" s="18" t="s">
        <v>831</v>
      </c>
      <c r="D188" s="10"/>
      <c r="E188" s="9" t="s">
        <v>189</v>
      </c>
      <c r="F188" s="1">
        <v>1</v>
      </c>
      <c r="G188" s="1">
        <f t="shared" si="6"/>
        <v>50</v>
      </c>
      <c r="H188" s="1" t="str">
        <f t="shared" si="7"/>
        <v>insert into catInformation select 335,'Identificador supervisor/coordinad Asesor Negocios',0,1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9">
        <v>336</v>
      </c>
      <c r="B189" s="9" t="s">
        <v>832</v>
      </c>
      <c r="C189" s="18" t="s">
        <v>190</v>
      </c>
      <c r="D189" s="10"/>
      <c r="E189" s="9" t="s">
        <v>191</v>
      </c>
      <c r="F189" s="1">
        <v>1</v>
      </c>
      <c r="G189" s="1">
        <f t="shared" si="6"/>
        <v>45</v>
      </c>
      <c r="H189" s="1" t="str">
        <f t="shared" si="7"/>
        <v>insert into catInformation select 336,'Nombre del Coordinador del Asesor de Negocios',0,1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9">
        <v>337</v>
      </c>
      <c r="B190" s="9" t="s">
        <v>833</v>
      </c>
      <c r="C190" s="18" t="s">
        <v>834</v>
      </c>
      <c r="D190" s="10"/>
      <c r="E190" s="9" t="s">
        <v>192</v>
      </c>
      <c r="F190" s="1">
        <v>1</v>
      </c>
      <c r="G190" s="1">
        <f t="shared" si="6"/>
        <v>40</v>
      </c>
      <c r="H190" s="1" t="str">
        <f t="shared" si="7"/>
        <v>insert into catInformation select 337,'Frecuencia de Pago calendario - Periodos',0,1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9">
        <v>338</v>
      </c>
      <c r="B191" s="9" t="s">
        <v>835</v>
      </c>
      <c r="C191" s="9" t="s">
        <v>836</v>
      </c>
      <c r="D191" s="10"/>
      <c r="E191" s="9" t="s">
        <v>837</v>
      </c>
      <c r="F191" s="1">
        <v>1</v>
      </c>
      <c r="G191" s="1">
        <f t="shared" si="6"/>
        <v>47</v>
      </c>
      <c r="H191" s="1" t="str">
        <f t="shared" si="7"/>
        <v>insert into catInformation select 338,'Numero de pagos mensuales del credito en letras',0,1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9">
        <v>339</v>
      </c>
      <c r="B192" s="9" t="s">
        <v>838</v>
      </c>
      <c r="C192" s="18" t="s">
        <v>193</v>
      </c>
      <c r="D192" s="10"/>
      <c r="E192" s="9" t="s">
        <v>194</v>
      </c>
      <c r="F192" s="1">
        <v>1</v>
      </c>
      <c r="G192" s="1">
        <f t="shared" si="6"/>
        <v>32</v>
      </c>
      <c r="H192" s="1" t="str">
        <f t="shared" si="7"/>
        <v>insert into catInformation select 339,'Porcentaje de comision en letras',0,1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9">
        <v>340</v>
      </c>
      <c r="B193" s="9" t="s">
        <v>839</v>
      </c>
      <c r="C193" s="18" t="s">
        <v>195</v>
      </c>
      <c r="D193" s="10"/>
      <c r="E193" s="9" t="s">
        <v>196</v>
      </c>
      <c r="F193" s="1">
        <v>2</v>
      </c>
      <c r="G193" s="1">
        <f t="shared" si="6"/>
        <v>37</v>
      </c>
      <c r="H193" s="1" t="str">
        <f t="shared" si="7"/>
        <v>insert into catInformation select 340,'Importe neto de la comision (Sin IVA)',0,2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9">
        <v>341</v>
      </c>
      <c r="B194" s="9" t="s">
        <v>840</v>
      </c>
      <c r="C194" s="18" t="s">
        <v>197</v>
      </c>
      <c r="D194" s="10"/>
      <c r="E194" s="9" t="s">
        <v>198</v>
      </c>
      <c r="F194" s="1">
        <v>2</v>
      </c>
      <c r="G194" s="1">
        <f t="shared" si="6"/>
        <v>29</v>
      </c>
      <c r="H194" s="1" t="str">
        <f t="shared" si="7"/>
        <v>insert into catInformation select 341,'Impuesto de la comision (Iva)',0,2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9">
        <v>342</v>
      </c>
      <c r="B195" s="9" t="s">
        <v>841</v>
      </c>
      <c r="C195" s="9" t="s">
        <v>199</v>
      </c>
      <c r="D195" s="10"/>
      <c r="E195" s="9" t="s">
        <v>200</v>
      </c>
      <c r="F195" s="1">
        <v>2</v>
      </c>
      <c r="G195" s="1">
        <f t="shared" si="6"/>
        <v>42</v>
      </c>
      <c r="H195" s="1" t="str">
        <f t="shared" si="7"/>
        <v>insert into catInformation select 342,'Valor total de la comision incluyendo IVA ',0,2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9">
        <v>343</v>
      </c>
      <c r="B196" s="9" t="s">
        <v>842</v>
      </c>
      <c r="C196" s="18" t="s">
        <v>201</v>
      </c>
      <c r="D196" s="10"/>
      <c r="E196" s="9" t="s">
        <v>202</v>
      </c>
      <c r="F196" s="1">
        <v>2</v>
      </c>
      <c r="G196" s="1">
        <f t="shared" si="6"/>
        <v>18</v>
      </c>
      <c r="H196" s="1" t="str">
        <f t="shared" si="7"/>
        <v>insert into catInformation select 343,'Importe del seguro',0,2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9">
        <v>344</v>
      </c>
      <c r="B197" s="9" t="s">
        <v>843</v>
      </c>
      <c r="C197" s="18" t="s">
        <v>203</v>
      </c>
      <c r="D197" s="10"/>
      <c r="E197" s="9" t="s">
        <v>204</v>
      </c>
      <c r="F197" s="1">
        <v>2</v>
      </c>
      <c r="G197" s="1">
        <f t="shared" si="6"/>
        <v>25</v>
      </c>
      <c r="H197" s="1" t="str">
        <f t="shared" si="7"/>
        <v>insert into catInformation select 344,'Impuesto (IVA) del seguro',0,2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9">
        <v>345</v>
      </c>
      <c r="B198" s="9" t="s">
        <v>844</v>
      </c>
      <c r="C198" s="18" t="s">
        <v>205</v>
      </c>
      <c r="D198" s="10"/>
      <c r="E198" s="9" t="s">
        <v>206</v>
      </c>
      <c r="F198" s="1">
        <v>2</v>
      </c>
      <c r="G198" s="1">
        <f t="shared" si="6"/>
        <v>37</v>
      </c>
      <c r="H198" s="1" t="str">
        <f t="shared" si="7"/>
        <v>insert into catInformation select 345,'Valor Total del seguro incluyendo IVA',0,2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9">
        <v>346</v>
      </c>
      <c r="B199" s="9" t="s">
        <v>845</v>
      </c>
      <c r="C199" s="18" t="s">
        <v>207</v>
      </c>
      <c r="D199" s="10"/>
      <c r="E199" s="9" t="s">
        <v>208</v>
      </c>
      <c r="F199" s="1">
        <v>2</v>
      </c>
      <c r="G199" s="1">
        <f t="shared" si="6"/>
        <v>28</v>
      </c>
      <c r="H199" s="1" t="str">
        <f t="shared" si="7"/>
        <v>insert into catInformation select 346,'Factor de calculo del seguro',0,2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9">
        <v>347</v>
      </c>
      <c r="B200" s="9" t="s">
        <v>846</v>
      </c>
      <c r="C200" s="18" t="s">
        <v>209</v>
      </c>
      <c r="D200" s="10"/>
      <c r="E200" s="9" t="s">
        <v>210</v>
      </c>
      <c r="F200" s="1">
        <v>1</v>
      </c>
      <c r="G200" s="1">
        <f t="shared" si="6"/>
        <v>32</v>
      </c>
      <c r="H200" s="1" t="str">
        <f t="shared" si="7"/>
        <v>insert into catInformation select 347,'Tasa de Interes Ordinario Letras',0,1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9">
        <v>348</v>
      </c>
      <c r="B201" s="9" t="s">
        <v>847</v>
      </c>
      <c r="C201" s="18" t="s">
        <v>211</v>
      </c>
      <c r="D201" s="10"/>
      <c r="E201" s="9" t="s">
        <v>212</v>
      </c>
      <c r="F201" s="1">
        <v>2</v>
      </c>
      <c r="G201" s="1">
        <f t="shared" si="6"/>
        <v>33</v>
      </c>
      <c r="H201" s="1" t="str">
        <f t="shared" si="7"/>
        <v>insert into catInformation select 348,'Monto total del contrato o pagare',0,2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9">
        <v>349</v>
      </c>
      <c r="B202" s="9" t="s">
        <v>848</v>
      </c>
      <c r="C202" s="18" t="s">
        <v>213</v>
      </c>
      <c r="D202" s="10"/>
      <c r="E202" s="9" t="s">
        <v>214</v>
      </c>
      <c r="F202" s="1">
        <v>1</v>
      </c>
      <c r="G202" s="1">
        <f t="shared" si="6"/>
        <v>43</v>
      </c>
      <c r="H202" s="1" t="str">
        <f t="shared" si="7"/>
        <v>insert into catInformation select 349,'Monto total del contrato o pagare en letras',0,1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9">
        <v>350</v>
      </c>
      <c r="B203" s="9" t="s">
        <v>849</v>
      </c>
      <c r="C203" s="9" t="s">
        <v>215</v>
      </c>
      <c r="D203" s="10"/>
      <c r="E203" s="9" t="s">
        <v>216</v>
      </c>
      <c r="F203" s="1">
        <v>1</v>
      </c>
      <c r="G203" s="1">
        <f t="shared" si="6"/>
        <v>19</v>
      </c>
      <c r="H203" s="1" t="str">
        <f t="shared" si="7"/>
        <v>insert into catInformation select 350,'Destino del Credito',0,1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9">
        <v>351</v>
      </c>
      <c r="B204" s="9" t="s">
        <v>850</v>
      </c>
      <c r="C204" s="9" t="s">
        <v>217</v>
      </c>
      <c r="D204" s="10"/>
      <c r="E204" s="9" t="s">
        <v>218</v>
      </c>
      <c r="F204" s="1">
        <v>2</v>
      </c>
      <c r="G204" s="1">
        <f t="shared" si="6"/>
        <v>27</v>
      </c>
      <c r="H204" s="1" t="str">
        <f t="shared" si="7"/>
        <v>insert into catInformation select 351,'Capacidad de pago Quincenal',0,2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9">
        <v>352</v>
      </c>
      <c r="B205" s="9" t="s">
        <v>851</v>
      </c>
      <c r="C205" s="9" t="s">
        <v>219</v>
      </c>
      <c r="D205" s="10"/>
      <c r="E205" s="9" t="s">
        <v>220</v>
      </c>
      <c r="F205" s="1">
        <v>2</v>
      </c>
      <c r="G205" s="1">
        <f t="shared" si="6"/>
        <v>25</v>
      </c>
      <c r="H205" s="1" t="str">
        <f t="shared" si="7"/>
        <v>insert into catInformation select 352,'Capacidad de pago Mensual',0,2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9">
        <v>353</v>
      </c>
      <c r="B206" s="9" t="s">
        <v>852</v>
      </c>
      <c r="C206" s="9" t="s">
        <v>221</v>
      </c>
      <c r="D206" s="10"/>
      <c r="E206" s="9" t="s">
        <v>222</v>
      </c>
      <c r="F206" s="1">
        <v>1</v>
      </c>
      <c r="G206" s="1">
        <f t="shared" si="6"/>
        <v>26</v>
      </c>
      <c r="H206" s="1" t="str">
        <f t="shared" si="7"/>
        <v>insert into catInformation select 353,'Proveedor de los servicios',0,1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9">
        <v>354</v>
      </c>
      <c r="B207" s="9" t="s">
        <v>853</v>
      </c>
      <c r="C207" s="9" t="s">
        <v>854</v>
      </c>
      <c r="D207" s="10"/>
      <c r="E207" s="9" t="s">
        <v>223</v>
      </c>
      <c r="F207" s="1">
        <v>2</v>
      </c>
      <c r="G207" s="1">
        <f t="shared" si="6"/>
        <v>47</v>
      </c>
      <c r="H207" s="1" t="str">
        <f t="shared" si="7"/>
        <v>insert into catInformation select 354,'Tasa de interes con descuento por pago oportuno',0,2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9">
        <v>355</v>
      </c>
      <c r="B208" s="9" t="s">
        <v>855</v>
      </c>
      <c r="C208" s="9" t="s">
        <v>856</v>
      </c>
      <c r="D208" s="10"/>
      <c r="E208" s="9" t="s">
        <v>224</v>
      </c>
      <c r="F208" s="1">
        <v>1</v>
      </c>
      <c r="G208" s="1">
        <f t="shared" si="6"/>
        <v>49</v>
      </c>
      <c r="H208" s="1" t="str">
        <f t="shared" si="7"/>
        <v>insert into catInformation select 355,'Tasa interes (letras) con descuento pago oportuno',0,1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9">
        <v>356</v>
      </c>
      <c r="B209" s="9" t="s">
        <v>857</v>
      </c>
      <c r="C209" s="9" t="s">
        <v>858</v>
      </c>
      <c r="D209" s="10"/>
      <c r="E209" s="9" t="s">
        <v>288</v>
      </c>
      <c r="F209" s="1">
        <v>1</v>
      </c>
      <c r="G209" s="1">
        <f t="shared" si="6"/>
        <v>50</v>
      </c>
      <c r="H209" s="1" t="str">
        <f t="shared" si="7"/>
        <v>insert into catInformation select 356,'Nombre / descripcion del financiamiento (Programa)',0,1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9">
        <v>357</v>
      </c>
      <c r="B210" s="9" t="s">
        <v>859</v>
      </c>
      <c r="C210" s="9" t="s">
        <v>293</v>
      </c>
      <c r="D210" s="10"/>
      <c r="E210" s="9" t="s">
        <v>294</v>
      </c>
      <c r="F210" s="1">
        <v>1</v>
      </c>
      <c r="G210" s="1">
        <f t="shared" si="6"/>
        <v>21</v>
      </c>
      <c r="H210" s="1" t="str">
        <f t="shared" si="7"/>
        <v>insert into catInformation select 357,'Numero de disposicion',0,1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9">
        <v>358</v>
      </c>
      <c r="B211" s="9" t="s">
        <v>860</v>
      </c>
      <c r="C211" s="9" t="s">
        <v>861</v>
      </c>
      <c r="D211" s="10"/>
      <c r="E211" s="9" t="s">
        <v>295</v>
      </c>
      <c r="F211" s="1">
        <v>1</v>
      </c>
      <c r="G211" s="1">
        <f t="shared" si="6"/>
        <v>50</v>
      </c>
      <c r="H211" s="1" t="str">
        <f t="shared" si="7"/>
        <v>insert into catInformation select 358,'Numero de cuenta Bancaria (CLABE) para disposicion',0,1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9">
        <v>359</v>
      </c>
      <c r="B212" s="9" t="s">
        <v>862</v>
      </c>
      <c r="C212" s="9" t="s">
        <v>289</v>
      </c>
      <c r="D212" s="10"/>
      <c r="E212" s="9" t="s">
        <v>290</v>
      </c>
      <c r="F212" s="1">
        <v>1</v>
      </c>
      <c r="G212" s="1">
        <f t="shared" si="6"/>
        <v>22</v>
      </c>
      <c r="H212" s="1" t="str">
        <f t="shared" si="7"/>
        <v>insert into catInformation select 359,'Actividad (PESO Fojal)',0,1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9">
        <v>360</v>
      </c>
      <c r="B213" s="9" t="s">
        <v>863</v>
      </c>
      <c r="C213" s="9" t="s">
        <v>225</v>
      </c>
      <c r="D213" s="10"/>
      <c r="E213" s="9" t="s">
        <v>226</v>
      </c>
      <c r="F213" s="1">
        <v>1</v>
      </c>
      <c r="G213" s="1">
        <f t="shared" si="6"/>
        <v>27</v>
      </c>
      <c r="H213" s="1" t="str">
        <f t="shared" si="7"/>
        <v>insert into catInformation select 360,'Valor de la cuota en letras',0,1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9">
        <v>361</v>
      </c>
      <c r="B214" s="9" t="s">
        <v>864</v>
      </c>
      <c r="C214" s="9" t="s">
        <v>865</v>
      </c>
      <c r="D214" s="10"/>
      <c r="E214" s="9" t="s">
        <v>227</v>
      </c>
      <c r="F214" s="1">
        <v>1</v>
      </c>
      <c r="G214" s="1">
        <f t="shared" si="6"/>
        <v>42</v>
      </c>
      <c r="H214" s="1" t="str">
        <f t="shared" si="7"/>
        <v>insert into catInformation select 361,'Numero de dias para cada pago (Frecuencia)',0,1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9">
        <v>362</v>
      </c>
      <c r="B215" s="9" t="s">
        <v>866</v>
      </c>
      <c r="C215" s="18" t="s">
        <v>228</v>
      </c>
      <c r="D215" s="10"/>
      <c r="E215" s="9" t="s">
        <v>229</v>
      </c>
      <c r="F215" s="1">
        <v>1</v>
      </c>
      <c r="G215" s="1">
        <f t="shared" si="6"/>
        <v>24</v>
      </c>
      <c r="H215" s="1" t="str">
        <f t="shared" si="7"/>
        <v>insert into catInformation select 362,'Porcentaje del CAT Letra',0,1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9">
        <v>363</v>
      </c>
      <c r="B216" s="9" t="s">
        <v>867</v>
      </c>
      <c r="C216" s="9" t="s">
        <v>868</v>
      </c>
      <c r="D216" s="10"/>
      <c r="E216" s="9" t="s">
        <v>869</v>
      </c>
      <c r="F216" s="1">
        <v>1</v>
      </c>
      <c r="G216" s="1">
        <f t="shared" si="6"/>
        <v>31</v>
      </c>
      <c r="H216" s="1" t="str">
        <f t="shared" si="7"/>
        <v>insert into catInformation select 363,'Descripcion Destino del Credito',0,1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9">
        <v>364</v>
      </c>
      <c r="B217" s="9" t="s">
        <v>870</v>
      </c>
      <c r="C217" s="18" t="s">
        <v>871</v>
      </c>
      <c r="D217" s="10"/>
      <c r="E217" s="9" t="s">
        <v>872</v>
      </c>
      <c r="F217" s="1">
        <v>1</v>
      </c>
      <c r="G217" s="1">
        <f t="shared" si="6"/>
        <v>36</v>
      </c>
      <c r="H217" s="1" t="str">
        <f t="shared" si="7"/>
        <v>insert into catInformation select 364,'Nombre del banco para la disposicion',0,1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9">
        <v>365</v>
      </c>
      <c r="B218" s="9" t="s">
        <v>873</v>
      </c>
      <c r="C218" s="18" t="s">
        <v>874</v>
      </c>
      <c r="D218" s="10"/>
      <c r="E218" s="9" t="s">
        <v>875</v>
      </c>
      <c r="F218" s="1">
        <v>2</v>
      </c>
      <c r="G218" s="1">
        <f t="shared" si="6"/>
        <v>36</v>
      </c>
      <c r="H218" s="1" t="str">
        <f t="shared" si="7"/>
        <v>insert into catInformation select 365,'Importe de la Garantia Real Ofrecida',0,2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9">
        <v>366</v>
      </c>
      <c r="B219" s="9" t="s">
        <v>876</v>
      </c>
      <c r="C219" s="18" t="s">
        <v>877</v>
      </c>
      <c r="D219" s="10"/>
      <c r="E219" s="9" t="s">
        <v>878</v>
      </c>
      <c r="F219" s="1">
        <v>2</v>
      </c>
      <c r="G219" s="1">
        <f t="shared" si="6"/>
        <v>45</v>
      </c>
      <c r="H219" s="1" t="str">
        <f t="shared" si="7"/>
        <v>insert into catInformation select 366,'Importe Garantia Real Ofrecida por un tercero',0,2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9">
        <v>367</v>
      </c>
      <c r="B220" s="9" t="s">
        <v>879</v>
      </c>
      <c r="C220" s="18" t="s">
        <v>880</v>
      </c>
      <c r="D220" s="10"/>
      <c r="E220" s="9" t="s">
        <v>881</v>
      </c>
      <c r="F220" s="1">
        <v>1</v>
      </c>
      <c r="G220" s="1">
        <f t="shared" si="6"/>
        <v>31</v>
      </c>
      <c r="H220" s="1" t="str">
        <f t="shared" si="7"/>
        <v>insert into catInformation select 367,'Descripcion de la Garantia Real',0,1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9">
        <v>368</v>
      </c>
      <c r="B221" s="9" t="s">
        <v>882</v>
      </c>
      <c r="C221" s="18" t="s">
        <v>883</v>
      </c>
      <c r="D221" s="10"/>
      <c r="E221" s="9" t="s">
        <v>884</v>
      </c>
      <c r="F221" s="1">
        <v>1</v>
      </c>
      <c r="G221" s="1">
        <f t="shared" si="6"/>
        <v>41</v>
      </c>
      <c r="H221" s="1" t="str">
        <f t="shared" si="7"/>
        <v>insert into catInformation select 368,'Tipo de Garantia ofrecida para el credito',0,1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9">
        <v>369</v>
      </c>
      <c r="B222" s="9" t="s">
        <v>885</v>
      </c>
      <c r="C222" s="18" t="s">
        <v>886</v>
      </c>
      <c r="D222" s="10"/>
      <c r="E222" s="9" t="s">
        <v>887</v>
      </c>
      <c r="F222" s="1">
        <v>1</v>
      </c>
      <c r="G222" s="1">
        <f t="shared" si="6"/>
        <v>50</v>
      </c>
      <c r="H222" s="1" t="str">
        <f t="shared" si="7"/>
        <v>insert into catInformation select 369,'Etiqueta Tipo de Garantia ofrecida para el credito',0,1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22">
        <v>370</v>
      </c>
      <c r="B223" s="22" t="s">
        <v>888</v>
      </c>
      <c r="C223" s="22" t="s">
        <v>889</v>
      </c>
      <c r="D223" s="23"/>
      <c r="E223" s="22" t="s">
        <v>890</v>
      </c>
      <c r="F223" s="1">
        <v>2</v>
      </c>
      <c r="G223" s="1">
        <f t="shared" si="6"/>
        <v>28</v>
      </c>
      <c r="H223" s="1" t="str">
        <f t="shared" si="7"/>
        <v>insert into catInformation select 370,'Periodo de Gracia de Capital',0,2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22">
        <v>371</v>
      </c>
      <c r="B224" s="22" t="s">
        <v>891</v>
      </c>
      <c r="C224" s="22" t="s">
        <v>892</v>
      </c>
      <c r="D224" s="23"/>
      <c r="E224" s="22" t="s">
        <v>893</v>
      </c>
      <c r="F224" s="1">
        <v>1</v>
      </c>
      <c r="G224" s="1">
        <f t="shared" si="6"/>
        <v>38</v>
      </c>
      <c r="H224" s="1" t="str">
        <f t="shared" si="7"/>
        <v>insert into catInformation select 371,'Periodo de Gracia de Capital en Letras',0,1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22">
        <v>372</v>
      </c>
      <c r="B225" s="22" t="s">
        <v>894</v>
      </c>
      <c r="C225" s="22" t="s">
        <v>895</v>
      </c>
      <c r="D225" s="23"/>
      <c r="E225" s="22" t="s">
        <v>896</v>
      </c>
      <c r="F225" s="1">
        <v>2</v>
      </c>
      <c r="G225" s="1">
        <f t="shared" si="6"/>
        <v>30</v>
      </c>
      <c r="H225" s="1" t="str">
        <f t="shared" si="7"/>
        <v>insert into catInformation select 372,'Periodo de Gracia de Intereses',0,2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22">
        <v>373</v>
      </c>
      <c r="B226" s="22" t="s">
        <v>897</v>
      </c>
      <c r="C226" s="22" t="s">
        <v>898</v>
      </c>
      <c r="D226" s="23"/>
      <c r="E226" s="22" t="s">
        <v>899</v>
      </c>
      <c r="F226" s="1">
        <v>1</v>
      </c>
      <c r="G226" s="1">
        <f t="shared" si="6"/>
        <v>40</v>
      </c>
      <c r="H226" s="1" t="str">
        <f t="shared" si="7"/>
        <v>insert into catInformation select 373,'Periodo de Gracia de Intereses en Letras',0,1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22">
        <v>374</v>
      </c>
      <c r="B227" s="22" t="s">
        <v>900</v>
      </c>
      <c r="C227" s="22" t="s">
        <v>901</v>
      </c>
      <c r="D227" s="23"/>
      <c r="E227" s="22" t="s">
        <v>902</v>
      </c>
      <c r="F227" s="1">
        <v>2</v>
      </c>
      <c r="G227" s="1">
        <f t="shared" si="6"/>
        <v>39</v>
      </c>
      <c r="H227" s="1" t="str">
        <f t="shared" si="7"/>
        <v>insert into catInformation select 374,'Periodo de Gracia (Capital e Intereses)',0,2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22">
        <v>375</v>
      </c>
      <c r="B228" s="22" t="s">
        <v>903</v>
      </c>
      <c r="C228" s="22" t="s">
        <v>904</v>
      </c>
      <c r="D228" s="23"/>
      <c r="E228" s="22" t="s">
        <v>905</v>
      </c>
      <c r="F228" s="1">
        <v>1</v>
      </c>
      <c r="G228" s="1">
        <f t="shared" si="6"/>
        <v>49</v>
      </c>
      <c r="H228" s="1" t="str">
        <f t="shared" si="7"/>
        <v>insert into catInformation select 375,'Periodo de Gracia (Capital e Intereses) en Letras',0,1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9">
        <v>376</v>
      </c>
      <c r="B229" s="9" t="s">
        <v>906</v>
      </c>
      <c r="C229" s="9" t="s">
        <v>283</v>
      </c>
      <c r="D229" s="10"/>
      <c r="E229" s="9" t="s">
        <v>284</v>
      </c>
      <c r="F229" s="1">
        <v>1</v>
      </c>
      <c r="G229" s="1">
        <f t="shared" si="6"/>
        <v>31</v>
      </c>
      <c r="H229" s="1" t="str">
        <f t="shared" si="7"/>
        <v>insert into catInformation select 376,'Folio de solicitud (PESO Fojal)',0,1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9">
        <v>377</v>
      </c>
      <c r="B230" s="9" t="s">
        <v>907</v>
      </c>
      <c r="C230" s="9" t="s">
        <v>238</v>
      </c>
      <c r="D230" s="10"/>
      <c r="E230" s="9" t="s">
        <v>239</v>
      </c>
      <c r="F230" s="1">
        <v>1</v>
      </c>
      <c r="G230" s="1">
        <f t="shared" si="6"/>
        <v>30</v>
      </c>
      <c r="H230" s="1" t="str">
        <f t="shared" si="7"/>
        <v>insert into catInformation select 377,'Modulo o Nivel de la solicitud',0,1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22">
        <v>378</v>
      </c>
      <c r="B231" s="22" t="s">
        <v>908</v>
      </c>
      <c r="C231" s="22" t="s">
        <v>240</v>
      </c>
      <c r="D231" s="23"/>
      <c r="E231" s="22" t="s">
        <v>241</v>
      </c>
      <c r="F231" s="1">
        <v>2</v>
      </c>
      <c r="G231" s="1">
        <f t="shared" si="6"/>
        <v>23</v>
      </c>
      <c r="H231" s="1" t="str">
        <f t="shared" si="7"/>
        <v>insert into catInformation select 378,'Importe del Primer Pago',0,2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9">
        <v>379</v>
      </c>
      <c r="B232" s="9" t="s">
        <v>909</v>
      </c>
      <c r="C232" s="9" t="s">
        <v>910</v>
      </c>
      <c r="D232" s="10"/>
      <c r="E232" s="9" t="s">
        <v>911</v>
      </c>
      <c r="F232" s="1">
        <v>2</v>
      </c>
      <c r="G232" s="1">
        <f t="shared" si="6"/>
        <v>25</v>
      </c>
      <c r="H232" s="1" t="str">
        <f t="shared" si="7"/>
        <v>insert into catInformation select 379,'Importe de la disposicion',0,2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9">
        <v>380</v>
      </c>
      <c r="B233" s="9" t="s">
        <v>912</v>
      </c>
      <c r="C233" s="9" t="s">
        <v>242</v>
      </c>
      <c r="D233" s="10"/>
      <c r="E233" s="9" t="s">
        <v>243</v>
      </c>
      <c r="F233" s="1">
        <v>1</v>
      </c>
      <c r="G233" s="1">
        <f t="shared" si="6"/>
        <v>37</v>
      </c>
      <c r="H233" s="1" t="str">
        <f t="shared" si="7"/>
        <v>insert into catInformation select 380,'Tipo de solicitud Grupal o Individual',0,1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9">
        <v>381</v>
      </c>
      <c r="B234" s="9" t="s">
        <v>913</v>
      </c>
      <c r="C234" s="9" t="s">
        <v>914</v>
      </c>
      <c r="D234" s="10"/>
      <c r="E234" s="9" t="s">
        <v>244</v>
      </c>
      <c r="F234" s="1">
        <v>1</v>
      </c>
      <c r="G234" s="1">
        <f t="shared" si="6"/>
        <v>50</v>
      </c>
      <c r="H234" s="1" t="str">
        <f t="shared" si="7"/>
        <v>insert into catInformation select 381,'Forma de Disposicion de la solicitud (Cheque, etc)',0,1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9">
        <v>382</v>
      </c>
      <c r="B235" s="9" t="s">
        <v>915</v>
      </c>
      <c r="C235" s="9" t="s">
        <v>245</v>
      </c>
      <c r="D235" s="10"/>
      <c r="E235" s="9" t="s">
        <v>246</v>
      </c>
      <c r="F235" s="1">
        <v>1</v>
      </c>
      <c r="G235" s="1">
        <f t="shared" si="6"/>
        <v>43</v>
      </c>
      <c r="H235" s="1" t="str">
        <f t="shared" si="7"/>
        <v>insert into catInformation select 382,'Descripcion del Grupo (solo credito Grupal)',0,1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9">
        <v>383</v>
      </c>
      <c r="B236" s="9" t="s">
        <v>916</v>
      </c>
      <c r="C236" s="9" t="s">
        <v>917</v>
      </c>
      <c r="D236" s="10"/>
      <c r="E236" s="9" t="s">
        <v>247</v>
      </c>
      <c r="F236" s="1">
        <v>1</v>
      </c>
      <c r="G236" s="1">
        <f t="shared" si="6"/>
        <v>38</v>
      </c>
      <c r="H236" s="1" t="str">
        <f t="shared" si="7"/>
        <v>insert into catInformation select 383,'Tipo de Aval + Calle y Numero del Aval',0,1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22">
        <v>384</v>
      </c>
      <c r="B237" s="22" t="s">
        <v>918</v>
      </c>
      <c r="C237" s="22" t="s">
        <v>919</v>
      </c>
      <c r="D237" s="23"/>
      <c r="E237" s="22" t="s">
        <v>920</v>
      </c>
      <c r="F237" s="1">
        <v>1</v>
      </c>
      <c r="G237" s="1">
        <f t="shared" si="6"/>
        <v>33</v>
      </c>
      <c r="H237" s="1" t="str">
        <f t="shared" si="7"/>
        <v>insert into catInformation select 384,'Importe del Primer Pago en Letras',0,1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9">
        <v>385</v>
      </c>
      <c r="B238" s="9" t="s">
        <v>921</v>
      </c>
      <c r="C238" s="9" t="s">
        <v>922</v>
      </c>
      <c r="D238" s="10"/>
      <c r="E238" s="9" t="s">
        <v>923</v>
      </c>
      <c r="F238" s="1">
        <v>2</v>
      </c>
      <c r="G238" s="1">
        <f t="shared" si="6"/>
        <v>34</v>
      </c>
      <c r="H238" s="1" t="str">
        <f t="shared" si="7"/>
        <v>insert into catInformation select 385,'Cantidad de Avales de la Solicitud',0,2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9">
        <v>386</v>
      </c>
      <c r="B239" s="9" t="s">
        <v>924</v>
      </c>
      <c r="C239" s="9" t="s">
        <v>925</v>
      </c>
      <c r="D239" s="10"/>
      <c r="E239" s="9" t="s">
        <v>248</v>
      </c>
      <c r="F239" s="1">
        <v>1</v>
      </c>
      <c r="G239" s="1">
        <f t="shared" si="6"/>
        <v>28</v>
      </c>
      <c r="H239" s="1" t="str">
        <f t="shared" si="7"/>
        <v>insert into catInformation select 386,'Nombre del Testigo a Ruego 1',0,1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9">
        <v>387</v>
      </c>
      <c r="B240" s="9" t="s">
        <v>926</v>
      </c>
      <c r="C240" s="9" t="s">
        <v>927</v>
      </c>
      <c r="D240" s="10"/>
      <c r="E240" s="9" t="s">
        <v>249</v>
      </c>
      <c r="F240" s="1">
        <v>1</v>
      </c>
      <c r="G240" s="1">
        <f t="shared" si="6"/>
        <v>28</v>
      </c>
      <c r="H240" s="1" t="str">
        <f t="shared" si="7"/>
        <v>insert into catInformation select 387,'Nombre del Testigo a Ruego 2',0,1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9">
        <v>388</v>
      </c>
      <c r="B241" s="9" t="s">
        <v>928</v>
      </c>
      <c r="C241" s="9" t="s">
        <v>250</v>
      </c>
      <c r="D241" s="10"/>
      <c r="E241" s="9" t="s">
        <v>251</v>
      </c>
      <c r="F241" s="1">
        <v>1</v>
      </c>
      <c r="G241" s="1">
        <f t="shared" si="6"/>
        <v>35</v>
      </c>
      <c r="H241" s="1" t="str">
        <f t="shared" si="7"/>
        <v>insert into catInformation select 388,'Tambien conocido como - Solicitante',0,1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9">
        <v>389</v>
      </c>
      <c r="B242" s="9" t="s">
        <v>929</v>
      </c>
      <c r="C242" s="9" t="s">
        <v>252</v>
      </c>
      <c r="D242" s="10"/>
      <c r="E242" s="9" t="s">
        <v>253</v>
      </c>
      <c r="F242" s="1">
        <v>1</v>
      </c>
      <c r="G242" s="1">
        <f t="shared" si="6"/>
        <v>28</v>
      </c>
      <c r="H242" s="1" t="str">
        <f t="shared" si="7"/>
        <v>insert into catInformation select 389,'Tambien conocido como - Aval',0,1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9">
        <v>390</v>
      </c>
      <c r="B243" s="9" t="s">
        <v>930</v>
      </c>
      <c r="C243" s="9" t="s">
        <v>931</v>
      </c>
      <c r="D243" s="10"/>
      <c r="E243" s="9" t="s">
        <v>254</v>
      </c>
      <c r="F243" s="1">
        <v>1</v>
      </c>
      <c r="G243" s="1">
        <f t="shared" si="6"/>
        <v>37</v>
      </c>
      <c r="H243" s="1" t="str">
        <f t="shared" si="7"/>
        <v>insert into catInformation select 390,'Nombre del Testigo a Ruego 1 del Aval',0,1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9">
        <v>391</v>
      </c>
      <c r="B244" s="9" t="s">
        <v>932</v>
      </c>
      <c r="C244" s="9" t="s">
        <v>933</v>
      </c>
      <c r="D244" s="10"/>
      <c r="E244" s="9" t="s">
        <v>255</v>
      </c>
      <c r="F244" s="1">
        <v>1</v>
      </c>
      <c r="G244" s="1">
        <f t="shared" si="6"/>
        <v>37</v>
      </c>
      <c r="H244" s="1" t="str">
        <f t="shared" si="7"/>
        <v>insert into catInformation select 391,'Nombre del Testigo a Ruego 2 del Aval',0,1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9">
        <v>392</v>
      </c>
      <c r="B245" s="9" t="s">
        <v>934</v>
      </c>
      <c r="C245" s="9" t="s">
        <v>935</v>
      </c>
      <c r="D245" s="10"/>
      <c r="E245" s="9" t="s">
        <v>936</v>
      </c>
      <c r="F245" s="1">
        <v>1</v>
      </c>
      <c r="G245" s="1">
        <f t="shared" si="6"/>
        <v>30</v>
      </c>
      <c r="H245" s="1" t="str">
        <f t="shared" si="7"/>
        <v>insert into catInformation select 392,'Tambien conocido como - Aval 2',0,1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9">
        <v>393</v>
      </c>
      <c r="B246" s="9" t="s">
        <v>937</v>
      </c>
      <c r="C246" s="9" t="s">
        <v>938</v>
      </c>
      <c r="D246" s="10"/>
      <c r="E246" s="9" t="s">
        <v>939</v>
      </c>
      <c r="F246" s="1">
        <v>1</v>
      </c>
      <c r="G246" s="1">
        <f t="shared" si="6"/>
        <v>39</v>
      </c>
      <c r="H246" s="1" t="str">
        <f t="shared" si="7"/>
        <v>insert into catInformation select 393,'Nombre del Testigo a Ruego 1 del Aval 2',0,1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9">
        <v>394</v>
      </c>
      <c r="B247" s="9" t="s">
        <v>940</v>
      </c>
      <c r="C247" s="9" t="s">
        <v>941</v>
      </c>
      <c r="D247" s="10"/>
      <c r="E247" s="9" t="s">
        <v>942</v>
      </c>
      <c r="F247" s="1">
        <v>1</v>
      </c>
      <c r="G247" s="1">
        <f t="shared" si="6"/>
        <v>39</v>
      </c>
      <c r="H247" s="1" t="str">
        <f t="shared" si="7"/>
        <v>insert into catInformation select 394,'Nombre del Testigo a Ruego 2 del Aval 2',0,1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2">
        <v>395</v>
      </c>
      <c r="B248" s="12" t="s">
        <v>943</v>
      </c>
      <c r="C248" s="12" t="s">
        <v>944</v>
      </c>
      <c r="D248" s="21"/>
      <c r="E248" s="12" t="s">
        <v>945</v>
      </c>
      <c r="F248" s="1">
        <v>2</v>
      </c>
      <c r="G248" s="1">
        <f t="shared" si="6"/>
        <v>47</v>
      </c>
      <c r="H248" s="1" t="str">
        <f t="shared" si="7"/>
        <v>insert into catInformation select 395,'Saldo Liquidar creditos anteriores (Unificados)',0,2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2">
        <v>396</v>
      </c>
      <c r="B249" s="12" t="s">
        <v>946</v>
      </c>
      <c r="C249" s="12" t="s">
        <v>947</v>
      </c>
      <c r="D249" s="21"/>
      <c r="E249" s="12" t="s">
        <v>948</v>
      </c>
      <c r="F249" s="24">
        <v>2</v>
      </c>
      <c r="G249" s="1">
        <f t="shared" si="6"/>
        <v>26</v>
      </c>
      <c r="H249" s="1" t="str">
        <f t="shared" si="7"/>
        <v>insert into catInformation select 396,'Tasa de interes subsidiada',0,2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2">
        <v>397</v>
      </c>
      <c r="B250" s="12" t="s">
        <v>949</v>
      </c>
      <c r="C250" s="12" t="s">
        <v>950</v>
      </c>
      <c r="D250" s="21"/>
      <c r="E250" s="12" t="s">
        <v>951</v>
      </c>
      <c r="F250" s="24">
        <v>1</v>
      </c>
      <c r="G250" s="1">
        <f t="shared" si="6"/>
        <v>36</v>
      </c>
      <c r="H250" s="1" t="str">
        <f t="shared" si="7"/>
        <v>insert into catInformation select 397,'Tasa de interes subsidiada en Letras',0,1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2">
        <v>398</v>
      </c>
      <c r="B251" s="12" t="s">
        <v>952</v>
      </c>
      <c r="C251" s="12" t="s">
        <v>953</v>
      </c>
      <c r="D251" s="21"/>
      <c r="E251" s="12" t="s">
        <v>954</v>
      </c>
      <c r="F251" s="24">
        <v>2</v>
      </c>
      <c r="G251" s="1">
        <f t="shared" si="6"/>
        <v>16</v>
      </c>
      <c r="H251" s="1" t="str">
        <f t="shared" si="7"/>
        <v>insert into catInformation select 398,'IVA de Intereses',0,2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2">
        <v>399</v>
      </c>
      <c r="B252" s="12" t="s">
        <v>955</v>
      </c>
      <c r="C252" s="12" t="s">
        <v>956</v>
      </c>
      <c r="D252" s="21"/>
      <c r="E252" s="12" t="s">
        <v>957</v>
      </c>
      <c r="F252" s="24">
        <v>1</v>
      </c>
      <c r="G252" s="1">
        <f t="shared" si="6"/>
        <v>36</v>
      </c>
      <c r="H252" s="1" t="str">
        <f t="shared" si="7"/>
        <v>insert into catInformation select 399,'Clave  del financiamiento (Programa)',0,1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4" t="s">
        <v>0</v>
      </c>
      <c r="B253" s="4" t="s">
        <v>1</v>
      </c>
      <c r="C253" s="3" t="s">
        <v>2</v>
      </c>
      <c r="D253" s="4"/>
      <c r="E253" s="4" t="s">
        <v>3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9">
        <v>400</v>
      </c>
      <c r="B254" s="9" t="s">
        <v>958</v>
      </c>
      <c r="C254" s="9" t="s">
        <v>256</v>
      </c>
      <c r="D254" s="10"/>
      <c r="E254" s="9" t="s">
        <v>257</v>
      </c>
      <c r="F254" s="1">
        <v>1</v>
      </c>
      <c r="G254" s="1">
        <f t="shared" ref="G254:G304" si="8">LEN(C254)</f>
        <v>17</v>
      </c>
      <c r="H254" s="1" t="str">
        <f t="shared" ref="H254:H300" si="9">CONCATENATE("insert into catInformation select ",A254,",'",C254,"',0,",F254)</f>
        <v>insert into catInformation select 400,'Numero de Credito',0,1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9">
        <v>401</v>
      </c>
      <c r="B255" s="9" t="s">
        <v>959</v>
      </c>
      <c r="C255" s="9" t="s">
        <v>960</v>
      </c>
      <c r="D255" s="10"/>
      <c r="E255" s="9" t="s">
        <v>258</v>
      </c>
      <c r="F255" s="1">
        <v>1</v>
      </c>
      <c r="G255" s="1">
        <f t="shared" si="8"/>
        <v>63</v>
      </c>
      <c r="H255" s="1" t="str">
        <f t="shared" si="9"/>
        <v>insert into catInformation select 401,'Numero de Contrato asignado al credito (Referencia del credito)',0,1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9">
        <v>402</v>
      </c>
      <c r="B256" s="9" t="s">
        <v>961</v>
      </c>
      <c r="C256" s="9" t="s">
        <v>962</v>
      </c>
      <c r="D256" s="10"/>
      <c r="E256" s="9" t="s">
        <v>259</v>
      </c>
      <c r="F256" s="1">
        <v>1</v>
      </c>
      <c r="G256" s="1">
        <f t="shared" si="8"/>
        <v>42</v>
      </c>
      <c r="H256" s="1" t="str">
        <f t="shared" si="9"/>
        <v>insert into catInformation select 402,'Numero de Contrato del credito sin guiones',0,1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9">
        <v>403</v>
      </c>
      <c r="B257" s="9" t="s">
        <v>963</v>
      </c>
      <c r="C257" s="9" t="s">
        <v>260</v>
      </c>
      <c r="D257" s="10"/>
      <c r="E257" s="9" t="s">
        <v>261</v>
      </c>
      <c r="F257" s="1">
        <v>1</v>
      </c>
      <c r="G257" s="1">
        <f t="shared" si="8"/>
        <v>33</v>
      </c>
      <c r="H257" s="1" t="str">
        <f t="shared" si="9"/>
        <v>insert into catInformation select 403,'Consecutivo de Tarjeta de credito',0,1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9">
        <v>404</v>
      </c>
      <c r="B258" s="9" t="s">
        <v>964</v>
      </c>
      <c r="C258" s="9" t="s">
        <v>262</v>
      </c>
      <c r="D258" s="10"/>
      <c r="E258" s="9" t="s">
        <v>263</v>
      </c>
      <c r="F258" s="1">
        <v>1</v>
      </c>
      <c r="G258" s="1">
        <f t="shared" si="8"/>
        <v>50</v>
      </c>
      <c r="H258" s="1" t="str">
        <f t="shared" si="9"/>
        <v>insert into catInformation select 404,'Numero de tarjeta de credito (####-####-####-####)',0,1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9">
        <v>405</v>
      </c>
      <c r="B259" s="9" t="s">
        <v>965</v>
      </c>
      <c r="C259" s="9" t="s">
        <v>264</v>
      </c>
      <c r="D259" s="10"/>
      <c r="E259" s="9" t="s">
        <v>265</v>
      </c>
      <c r="F259" s="1">
        <v>1</v>
      </c>
      <c r="G259" s="1">
        <f t="shared" si="8"/>
        <v>33</v>
      </c>
      <c r="H259" s="1" t="str">
        <f t="shared" si="9"/>
        <v>insert into catInformation select 405,'Fecha de Ultima Amortizacion/Pago',0,1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9">
        <v>406</v>
      </c>
      <c r="B260" s="9" t="s">
        <v>966</v>
      </c>
      <c r="C260" s="9" t="s">
        <v>266</v>
      </c>
      <c r="D260" s="10"/>
      <c r="E260" s="9" t="s">
        <v>267</v>
      </c>
      <c r="F260" s="1">
        <v>1</v>
      </c>
      <c r="G260" s="1">
        <f t="shared" si="8"/>
        <v>38</v>
      </c>
      <c r="H260" s="1" t="str">
        <f t="shared" si="9"/>
        <v>insert into catInformation select 406,'Fecha de Apertura (inicio) del credito',0,1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9">
        <v>407</v>
      </c>
      <c r="B261" s="9" t="s">
        <v>967</v>
      </c>
      <c r="C261" s="9" t="s">
        <v>268</v>
      </c>
      <c r="D261" s="10"/>
      <c r="E261" s="9" t="s">
        <v>269</v>
      </c>
      <c r="F261" s="1">
        <v>2</v>
      </c>
      <c r="G261" s="1">
        <f t="shared" si="8"/>
        <v>24</v>
      </c>
      <c r="H261" s="1" t="str">
        <f t="shared" si="9"/>
        <v>insert into catInformation select 407,'Monto del Credito Numero',0,2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9">
        <v>408</v>
      </c>
      <c r="B262" s="9" t="s">
        <v>968</v>
      </c>
      <c r="C262" s="9" t="s">
        <v>270</v>
      </c>
      <c r="D262" s="10"/>
      <c r="E262" s="9" t="s">
        <v>271</v>
      </c>
      <c r="F262" s="1">
        <v>2</v>
      </c>
      <c r="G262" s="1">
        <f t="shared" si="8"/>
        <v>24</v>
      </c>
      <c r="H262" s="1" t="str">
        <f t="shared" si="9"/>
        <v>insert into catInformation select 408,'Monto de Comision Numero',0,2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9">
        <v>409</v>
      </c>
      <c r="B263" s="9" t="s">
        <v>969</v>
      </c>
      <c r="C263" s="9" t="s">
        <v>272</v>
      </c>
      <c r="D263" s="10"/>
      <c r="E263" s="9" t="s">
        <v>273</v>
      </c>
      <c r="F263" s="1">
        <v>1</v>
      </c>
      <c r="G263" s="1">
        <f t="shared" si="8"/>
        <v>24</v>
      </c>
      <c r="H263" s="1" t="str">
        <f t="shared" si="9"/>
        <v>insert into catInformation select 409,'Monto del Credito Letras',0,1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9">
        <v>410</v>
      </c>
      <c r="B264" s="9" t="s">
        <v>970</v>
      </c>
      <c r="C264" s="9" t="s">
        <v>274</v>
      </c>
      <c r="D264" s="10"/>
      <c r="E264" s="9" t="s">
        <v>275</v>
      </c>
      <c r="F264" s="1">
        <v>1</v>
      </c>
      <c r="G264" s="1">
        <f t="shared" si="8"/>
        <v>42</v>
      </c>
      <c r="H264" s="1" t="str">
        <f t="shared" si="9"/>
        <v>insert into catInformation select 410,'Referencia de afiliacion para pago (PROSA)',0,1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9">
        <v>411</v>
      </c>
      <c r="B265" s="9" t="s">
        <v>971</v>
      </c>
      <c r="C265" s="9" t="s">
        <v>276</v>
      </c>
      <c r="D265" s="10"/>
      <c r="E265" s="9" t="s">
        <v>277</v>
      </c>
      <c r="F265" s="1">
        <v>1</v>
      </c>
      <c r="G265" s="1">
        <f t="shared" si="8"/>
        <v>32</v>
      </c>
      <c r="H265" s="1" t="str">
        <f t="shared" si="9"/>
        <v>insert into catInformation select 411,'Fecha de primer pago del credito',0,1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 customHeight="1">
      <c r="A266" s="9">
        <v>412</v>
      </c>
      <c r="B266" s="9" t="s">
        <v>972</v>
      </c>
      <c r="C266" s="9" t="s">
        <v>278</v>
      </c>
      <c r="D266" s="10"/>
      <c r="E266" s="9" t="s">
        <v>279</v>
      </c>
      <c r="F266" s="1">
        <v>1</v>
      </c>
      <c r="G266" s="1">
        <f t="shared" si="8"/>
        <v>49</v>
      </c>
      <c r="H266" s="1" t="str">
        <f t="shared" si="9"/>
        <v>insert into catInformation select 412,'Fecha de ultimo cambio de estatus de la solicitud',0,1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9">
        <v>413</v>
      </c>
      <c r="B267" s="9" t="s">
        <v>973</v>
      </c>
      <c r="C267" s="9" t="s">
        <v>280</v>
      </c>
      <c r="D267" s="10"/>
      <c r="E267" s="9" t="s">
        <v>281</v>
      </c>
      <c r="F267" s="1">
        <v>2</v>
      </c>
      <c r="G267" s="1">
        <f t="shared" si="8"/>
        <v>25</v>
      </c>
      <c r="H267" s="1" t="str">
        <f t="shared" si="9"/>
        <v>insert into catInformation select 413,'Saldo Inicial del credito',0,2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9">
        <v>414</v>
      </c>
      <c r="B268" s="9" t="s">
        <v>974</v>
      </c>
      <c r="C268" s="9" t="s">
        <v>975</v>
      </c>
      <c r="D268" s="10"/>
      <c r="E268" s="9" t="s">
        <v>282</v>
      </c>
      <c r="F268" s="1">
        <v>1</v>
      </c>
      <c r="G268" s="1">
        <f t="shared" si="8"/>
        <v>41</v>
      </c>
      <c r="H268" s="1" t="str">
        <f t="shared" si="9"/>
        <v>insert into catInformation select 414,'Usuario de ultimo estatus de la solicitud',0,1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9">
        <v>415</v>
      </c>
      <c r="B269" s="9" t="s">
        <v>976</v>
      </c>
      <c r="C269" s="9" t="s">
        <v>977</v>
      </c>
      <c r="D269" s="10"/>
      <c r="E269" s="9" t="s">
        <v>978</v>
      </c>
      <c r="F269" s="1">
        <v>1</v>
      </c>
      <c r="G269" s="1">
        <f t="shared" si="8"/>
        <v>36</v>
      </c>
      <c r="H269" s="1" t="str">
        <f t="shared" si="9"/>
        <v>insert into catInformation select 415,'Fecha de Estatus actual  del Credito',0,1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9">
        <v>416</v>
      </c>
      <c r="B270" s="9" t="s">
        <v>979</v>
      </c>
      <c r="C270" s="9" t="s">
        <v>285</v>
      </c>
      <c r="D270" s="10"/>
      <c r="E270" s="9" t="s">
        <v>286</v>
      </c>
      <c r="F270" s="1">
        <v>1</v>
      </c>
      <c r="G270" s="1">
        <f t="shared" si="8"/>
        <v>43</v>
      </c>
      <c r="H270" s="1" t="str">
        <f t="shared" si="9"/>
        <v>insert into catInformation select 416,'Fecha de vencimiento de la linea de credito',0,1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9">
        <v>417</v>
      </c>
      <c r="B271" s="9" t="s">
        <v>980</v>
      </c>
      <c r="C271" s="9" t="s">
        <v>287</v>
      </c>
      <c r="D271" s="10"/>
      <c r="E271" s="9" t="s">
        <v>981</v>
      </c>
      <c r="F271" s="1">
        <v>1</v>
      </c>
      <c r="G271" s="1">
        <f t="shared" si="8"/>
        <v>39</v>
      </c>
      <c r="H271" s="1" t="str">
        <f t="shared" si="9"/>
        <v>insert into catInformation select 417,'Nombre / descripcion del financiamiento',0,1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9">
        <v>419</v>
      </c>
      <c r="B272" s="9" t="s">
        <v>982</v>
      </c>
      <c r="C272" s="9" t="s">
        <v>291</v>
      </c>
      <c r="D272" s="10"/>
      <c r="E272" s="9" t="s">
        <v>292</v>
      </c>
      <c r="F272" s="1">
        <v>1</v>
      </c>
      <c r="G272" s="1">
        <f t="shared" si="8"/>
        <v>38</v>
      </c>
      <c r="H272" s="1" t="str">
        <f t="shared" si="9"/>
        <v>insert into catInformation select 419,'Numero de Linea de Credito del cliente',0,1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9">
        <v>420</v>
      </c>
      <c r="B273" s="9" t="s">
        <v>983</v>
      </c>
      <c r="C273" s="9" t="s">
        <v>293</v>
      </c>
      <c r="D273" s="10"/>
      <c r="E273" s="9" t="s">
        <v>984</v>
      </c>
      <c r="F273" s="1">
        <v>1</v>
      </c>
      <c r="G273" s="1">
        <f t="shared" si="8"/>
        <v>21</v>
      </c>
      <c r="H273" s="1" t="str">
        <f t="shared" si="9"/>
        <v>insert into catInformation select 420,'Numero de disposicion',0,1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9">
        <v>421</v>
      </c>
      <c r="B274" s="9" t="s">
        <v>985</v>
      </c>
      <c r="C274" s="9" t="s">
        <v>986</v>
      </c>
      <c r="D274" s="10"/>
      <c r="E274" s="9" t="s">
        <v>987</v>
      </c>
      <c r="F274" s="1">
        <v>1</v>
      </c>
      <c r="G274" s="1">
        <f t="shared" si="8"/>
        <v>47</v>
      </c>
      <c r="H274" s="1" t="str">
        <f t="shared" si="9"/>
        <v>insert into catInformation select 421,'Dia de Pago del credito (solo con pago Mensual)',0,1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9">
        <v>422</v>
      </c>
      <c r="B275" s="9" t="s">
        <v>988</v>
      </c>
      <c r="C275" s="9" t="s">
        <v>296</v>
      </c>
      <c r="D275" s="10"/>
      <c r="E275" s="9" t="s">
        <v>297</v>
      </c>
      <c r="F275" s="1">
        <v>1</v>
      </c>
      <c r="G275" s="1">
        <f t="shared" si="8"/>
        <v>41</v>
      </c>
      <c r="H275" s="1" t="str">
        <f t="shared" si="9"/>
        <v>insert into catInformation select 422,'Numero de contrato de la Linea de Credito',0,1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9">
        <v>423</v>
      </c>
      <c r="B276" s="9" t="s">
        <v>989</v>
      </c>
      <c r="C276" s="9" t="s">
        <v>298</v>
      </c>
      <c r="D276" s="10"/>
      <c r="E276" s="9" t="s">
        <v>299</v>
      </c>
      <c r="F276" s="1">
        <v>1</v>
      </c>
      <c r="G276" s="1">
        <f t="shared" si="8"/>
        <v>38</v>
      </c>
      <c r="H276" s="1" t="str">
        <f t="shared" si="9"/>
        <v>insert into catInformation select 423,'Fecha de Inicio de la Linea de credito',0,1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9">
        <v>424</v>
      </c>
      <c r="B277" s="9" t="s">
        <v>990</v>
      </c>
      <c r="C277" s="18" t="s">
        <v>161</v>
      </c>
      <c r="D277" s="10"/>
      <c r="E277" s="9" t="s">
        <v>991</v>
      </c>
      <c r="F277" s="1">
        <v>2</v>
      </c>
      <c r="G277" s="1">
        <f t="shared" si="8"/>
        <v>29</v>
      </c>
      <c r="H277" s="1" t="str">
        <f t="shared" si="9"/>
        <v>insert into catInformation select 424,'Porcentaje de Comision Numero',0,2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9">
        <v>425</v>
      </c>
      <c r="B278" s="9" t="s">
        <v>992</v>
      </c>
      <c r="C278" s="18" t="s">
        <v>993</v>
      </c>
      <c r="D278" s="10"/>
      <c r="E278" s="9" t="s">
        <v>994</v>
      </c>
      <c r="F278" s="1">
        <v>1</v>
      </c>
      <c r="G278" s="1">
        <f t="shared" si="8"/>
        <v>29</v>
      </c>
      <c r="H278" s="1" t="str">
        <f t="shared" si="9"/>
        <v>insert into catInformation select 425,'Porcentaje de Comision Letras',0,1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25">
        <v>426</v>
      </c>
      <c r="B279" s="25" t="s">
        <v>995</v>
      </c>
      <c r="C279" s="26" t="s">
        <v>996</v>
      </c>
      <c r="D279" s="27"/>
      <c r="E279" s="25" t="s">
        <v>997</v>
      </c>
      <c r="F279" s="1">
        <v>2</v>
      </c>
      <c r="G279" s="1">
        <f t="shared" si="8"/>
        <v>40</v>
      </c>
      <c r="H279" s="1" t="str">
        <f t="shared" si="9"/>
        <v>insert into catInformation select 426,'Tasa de Interes Ordinario Sin IVA Numero',0,2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25">
        <v>427</v>
      </c>
      <c r="B280" s="25" t="s">
        <v>998</v>
      </c>
      <c r="C280" s="26" t="s">
        <v>999</v>
      </c>
      <c r="D280" s="27"/>
      <c r="E280" s="25" t="s">
        <v>1000</v>
      </c>
      <c r="F280" s="1">
        <v>1</v>
      </c>
      <c r="G280" s="1">
        <f t="shared" si="8"/>
        <v>40</v>
      </c>
      <c r="H280" s="1" t="str">
        <f t="shared" si="9"/>
        <v>insert into catInformation select 427,'Tasa de Interes Ordinario Sin IVA Letras',0,1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9">
        <v>429</v>
      </c>
      <c r="B281" s="9" t="s">
        <v>1001</v>
      </c>
      <c r="C281" s="18" t="s">
        <v>1002</v>
      </c>
      <c r="D281" s="10"/>
      <c r="E281" s="9" t="s">
        <v>1003</v>
      </c>
      <c r="F281" s="1">
        <v>2</v>
      </c>
      <c r="G281" s="1">
        <f t="shared" si="8"/>
        <v>31</v>
      </c>
      <c r="H281" s="1" t="str">
        <f t="shared" si="9"/>
        <v>insert into catInformation select 429,'Numero Pagos/Cuotas Subsecuente',0,2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9">
        <v>430</v>
      </c>
      <c r="B282" s="9" t="s">
        <v>1004</v>
      </c>
      <c r="C282" s="18" t="s">
        <v>1005</v>
      </c>
      <c r="D282" s="10"/>
      <c r="E282" s="9" t="s">
        <v>1006</v>
      </c>
      <c r="F282" s="1">
        <v>1</v>
      </c>
      <c r="G282" s="1">
        <f t="shared" si="8"/>
        <v>39</v>
      </c>
      <c r="H282" s="1" t="str">
        <f t="shared" si="9"/>
        <v>insert into catInformation select 430,'Numero Pagos/Cuotas Subsecuente  Letras',0,1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9">
        <v>431</v>
      </c>
      <c r="B283" s="9" t="s">
        <v>1007</v>
      </c>
      <c r="C283" s="18" t="s">
        <v>1008</v>
      </c>
      <c r="D283" s="10"/>
      <c r="E283" s="9" t="s">
        <v>1009</v>
      </c>
      <c r="F283" s="1">
        <v>1</v>
      </c>
      <c r="G283" s="1">
        <f t="shared" si="8"/>
        <v>36</v>
      </c>
      <c r="H283" s="1" t="str">
        <f t="shared" si="9"/>
        <v>insert into catInformation select 431,'Fecha Primer Pago/Cuota Subsecuente ',0,1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9">
        <v>432</v>
      </c>
      <c r="B284" s="9" t="s">
        <v>1010</v>
      </c>
      <c r="C284" s="18" t="s">
        <v>1011</v>
      </c>
      <c r="D284" s="10"/>
      <c r="E284" s="9" t="s">
        <v>1012</v>
      </c>
      <c r="F284" s="1">
        <v>2</v>
      </c>
      <c r="G284" s="1">
        <f t="shared" si="8"/>
        <v>48</v>
      </c>
      <c r="H284" s="1" t="str">
        <f t="shared" si="9"/>
        <v>insert into catInformation select 432,'Monto de Pago/Cuota Subsecuente (2o Pago) Numero',0,2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9">
        <v>433</v>
      </c>
      <c r="B285" s="9" t="s">
        <v>1013</v>
      </c>
      <c r="C285" s="18" t="s">
        <v>1014</v>
      </c>
      <c r="D285" s="10"/>
      <c r="E285" s="9" t="s">
        <v>1015</v>
      </c>
      <c r="F285" s="1">
        <v>1</v>
      </c>
      <c r="G285" s="1">
        <f t="shared" si="8"/>
        <v>48</v>
      </c>
      <c r="H285" s="1" t="str">
        <f t="shared" si="9"/>
        <v>insert into catInformation select 433,'Monto de Pago/Cuota Subsecuente (2o Pago) Letras',0,1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9">
        <v>434</v>
      </c>
      <c r="B286" s="9" t="s">
        <v>1016</v>
      </c>
      <c r="C286" s="18" t="s">
        <v>1017</v>
      </c>
      <c r="D286" s="10"/>
      <c r="E286" s="9" t="s">
        <v>1018</v>
      </c>
      <c r="F286" s="1">
        <v>2</v>
      </c>
      <c r="G286" s="1">
        <f t="shared" si="8"/>
        <v>38</v>
      </c>
      <c r="H286" s="1" t="str">
        <f t="shared" si="9"/>
        <v>insert into catInformation select 434,'Monto de Pago/Cuota Subsecuente Numero',0,2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9">
        <v>435</v>
      </c>
      <c r="B287" s="9" t="s">
        <v>1019</v>
      </c>
      <c r="C287" s="18" t="s">
        <v>1020</v>
      </c>
      <c r="D287" s="10"/>
      <c r="E287" s="9" t="s">
        <v>1021</v>
      </c>
      <c r="F287" s="1">
        <v>1</v>
      </c>
      <c r="G287" s="1">
        <f t="shared" si="8"/>
        <v>38</v>
      </c>
      <c r="H287" s="1" t="str">
        <f t="shared" si="9"/>
        <v>insert into catInformation select 435,'Monto de Pago/Cuota Subsecuente Letras',0,1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9">
        <v>436</v>
      </c>
      <c r="B288" s="9" t="s">
        <v>1022</v>
      </c>
      <c r="C288" s="18" t="s">
        <v>1023</v>
      </c>
      <c r="D288" s="10"/>
      <c r="E288" s="9" t="s">
        <v>1024</v>
      </c>
      <c r="F288" s="1">
        <v>2</v>
      </c>
      <c r="G288" s="1">
        <f t="shared" si="8"/>
        <v>42</v>
      </c>
      <c r="H288" s="1" t="str">
        <f t="shared" si="9"/>
        <v>insert into catInformation select 436,'Numero de periodos de Gracia K e I menos 1',0,2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9">
        <v>437</v>
      </c>
      <c r="B289" s="9" t="s">
        <v>1025</v>
      </c>
      <c r="C289" s="18" t="s">
        <v>1026</v>
      </c>
      <c r="D289" s="10"/>
      <c r="E289" s="9" t="s">
        <v>1027</v>
      </c>
      <c r="F289" s="1">
        <v>1</v>
      </c>
      <c r="G289" s="1">
        <f t="shared" si="8"/>
        <v>49</v>
      </c>
      <c r="H289" s="1" t="str">
        <f t="shared" si="9"/>
        <v>insert into catInformation select 437,'Numero de periodos de Gracia K e I menos 1 Letras',0,1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9">
        <v>438</v>
      </c>
      <c r="B290" s="19" t="s">
        <v>1028</v>
      </c>
      <c r="C290" s="20" t="s">
        <v>1029</v>
      </c>
      <c r="D290" s="28"/>
      <c r="E290" s="19" t="s">
        <v>1030</v>
      </c>
      <c r="F290" s="1">
        <v>1</v>
      </c>
      <c r="G290" s="1">
        <f t="shared" si="8"/>
        <v>46</v>
      </c>
      <c r="H290" s="1" t="str">
        <f t="shared" si="9"/>
        <v>insert into catInformation select 438,'Fecha del ultimo pago realizado por el cliente',0,1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9">
        <v>439</v>
      </c>
      <c r="B291" s="19" t="s">
        <v>1031</v>
      </c>
      <c r="C291" s="20" t="s">
        <v>1032</v>
      </c>
      <c r="D291" s="28"/>
      <c r="E291" s="19" t="s">
        <v>1033</v>
      </c>
      <c r="F291" s="1">
        <v>1</v>
      </c>
      <c r="G291" s="1">
        <f t="shared" si="8"/>
        <v>22</v>
      </c>
      <c r="H291" s="1" t="str">
        <f t="shared" si="9"/>
        <v>insert into catInformation select 439,'Referencia de Pago DXN',0,1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9">
        <v>440</v>
      </c>
      <c r="B292" s="19" t="s">
        <v>1034</v>
      </c>
      <c r="C292" s="20" t="s">
        <v>1035</v>
      </c>
      <c r="D292" s="28"/>
      <c r="E292" s="19" t="s">
        <v>1036</v>
      </c>
      <c r="F292" s="1">
        <v>2</v>
      </c>
      <c r="G292" s="1">
        <f t="shared" si="8"/>
        <v>28</v>
      </c>
      <c r="H292" s="1" t="str">
        <f t="shared" si="9"/>
        <v>insert into catInformation select 440,'Saldo a Liquidar del Credito',0,2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29">
        <v>441</v>
      </c>
      <c r="B293" s="29" t="s">
        <v>1037</v>
      </c>
      <c r="C293" s="30" t="s">
        <v>1038</v>
      </c>
      <c r="D293" s="31"/>
      <c r="E293" s="29" t="s">
        <v>1039</v>
      </c>
      <c r="F293" s="1">
        <v>2</v>
      </c>
      <c r="G293" s="1">
        <f t="shared" si="8"/>
        <v>23</v>
      </c>
      <c r="H293" s="1" t="str">
        <f t="shared" si="9"/>
        <v>insert into catInformation select 441,'Saldo Total del Credito',0,2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9">
        <v>442</v>
      </c>
      <c r="B294" s="9" t="s">
        <v>1040</v>
      </c>
      <c r="C294" s="18" t="s">
        <v>1041</v>
      </c>
      <c r="D294" s="10"/>
      <c r="E294" s="9"/>
      <c r="F294" s="1">
        <v>2</v>
      </c>
      <c r="G294" s="1">
        <f t="shared" si="8"/>
        <v>31</v>
      </c>
      <c r="H294" s="1" t="str">
        <f t="shared" si="9"/>
        <v>insert into catInformation select 442,'Saldo Total Vencido del Credito',0,2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9">
        <v>443</v>
      </c>
      <c r="B295" s="9" t="s">
        <v>1042</v>
      </c>
      <c r="C295" s="18" t="s">
        <v>1043</v>
      </c>
      <c r="D295" s="10"/>
      <c r="E295" s="9"/>
      <c r="F295" s="1">
        <v>1</v>
      </c>
      <c r="G295" s="1">
        <f t="shared" si="8"/>
        <v>24</v>
      </c>
      <c r="H295" s="1" t="str">
        <f t="shared" si="9"/>
        <v>insert into catInformation select 443,'Año de fecha de apertura',0,1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9">
        <v>444</v>
      </c>
      <c r="B296" s="9" t="s">
        <v>1044</v>
      </c>
      <c r="C296" s="18" t="s">
        <v>1045</v>
      </c>
      <c r="D296" s="10"/>
      <c r="E296" s="9"/>
      <c r="F296" s="1">
        <v>1</v>
      </c>
      <c r="G296" s="1">
        <f t="shared" si="8"/>
        <v>50</v>
      </c>
      <c r="H296" s="1" t="str">
        <f t="shared" si="9"/>
        <v>insert into catInformation select 444,'Mes de fecha de apertura leyenda de mes en español',0,1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9">
        <v>445</v>
      </c>
      <c r="B297" s="9" t="s">
        <v>1046</v>
      </c>
      <c r="C297" s="18" t="s">
        <v>1047</v>
      </c>
      <c r="D297" s="10"/>
      <c r="E297" s="9"/>
      <c r="F297" s="1">
        <v>1</v>
      </c>
      <c r="G297" s="1">
        <f t="shared" si="8"/>
        <v>24</v>
      </c>
      <c r="H297" s="1" t="str">
        <f t="shared" si="9"/>
        <v>insert into catInformation select 445,'Dia de fecha de apertura',0,1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9">
        <v>446</v>
      </c>
      <c r="B298" s="18" t="s">
        <v>1048</v>
      </c>
      <c r="C298" s="18" t="s">
        <v>1049</v>
      </c>
      <c r="D298" s="10"/>
      <c r="E298" s="9"/>
      <c r="F298" s="1">
        <v>1</v>
      </c>
      <c r="G298" s="1">
        <f t="shared" si="8"/>
        <v>21</v>
      </c>
      <c r="H298" s="1" t="str">
        <f t="shared" si="9"/>
        <v>insert into catInformation select 446,'Fecha límite de pago ',0,1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9">
        <v>447</v>
      </c>
      <c r="B299" s="18" t="s">
        <v>1050</v>
      </c>
      <c r="C299" s="18" t="s">
        <v>1051</v>
      </c>
      <c r="D299" s="10"/>
      <c r="E299" s="9" t="s">
        <v>1052</v>
      </c>
      <c r="F299" s="1">
        <v>2</v>
      </c>
      <c r="G299" s="1">
        <f t="shared" si="8"/>
        <v>29</v>
      </c>
      <c r="H299" s="1" t="str">
        <f t="shared" si="9"/>
        <v>insert into catInformation select 447,'Importe de Disposicion Numero',0,2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9">
        <v>448</v>
      </c>
      <c r="B300" s="18" t="s">
        <v>1053</v>
      </c>
      <c r="C300" s="18" t="s">
        <v>1054</v>
      </c>
      <c r="D300" s="10"/>
      <c r="E300" s="9" t="s">
        <v>1055</v>
      </c>
      <c r="F300" s="1">
        <v>1</v>
      </c>
      <c r="G300" s="1">
        <f t="shared" si="8"/>
        <v>29</v>
      </c>
      <c r="H300" s="1" t="str">
        <f t="shared" si="9"/>
        <v>insert into catInformation select 448,'Importe de Disposicion Letras',0,1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9"/>
      <c r="B301" s="18" t="s">
        <v>1056</v>
      </c>
      <c r="C301" s="18" t="s">
        <v>1057</v>
      </c>
      <c r="D301" s="10"/>
      <c r="E301" s="9"/>
      <c r="F301" s="1"/>
      <c r="G301" s="1">
        <f t="shared" si="8"/>
        <v>62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9">
        <v>449</v>
      </c>
      <c r="B302" s="18" t="s">
        <v>1058</v>
      </c>
      <c r="C302" s="18" t="s">
        <v>1059</v>
      </c>
      <c r="D302" s="10"/>
      <c r="E302" s="9"/>
      <c r="F302" s="1"/>
      <c r="G302" s="1">
        <f t="shared" si="8"/>
        <v>57</v>
      </c>
      <c r="H302" s="1" t="str">
        <f>CONCATENATE("insert into catInformation select ",A302,",'",C302,"',0,",F302)</f>
        <v>insert into catInformation select 449,'Numero Celular de la Persona asociada al Asesor de Ventas',0,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9"/>
      <c r="B303" s="9"/>
      <c r="C303" s="18"/>
      <c r="D303" s="10"/>
      <c r="E303" s="9"/>
      <c r="F303" s="1"/>
      <c r="G303" s="1">
        <f t="shared" si="8"/>
        <v>0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9"/>
      <c r="B304" s="9" t="s">
        <v>1060</v>
      </c>
      <c r="C304" s="18"/>
      <c r="D304" s="10"/>
      <c r="E304" s="9"/>
      <c r="F304" s="1"/>
      <c r="G304" s="1">
        <f t="shared" si="8"/>
        <v>0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9"/>
      <c r="B305" s="9" t="s">
        <v>1061</v>
      </c>
      <c r="C305" s="18"/>
      <c r="D305" s="10"/>
      <c r="E305" s="9"/>
      <c r="F305" s="1"/>
      <c r="G305" s="1" t="e">
        <f>LEN(#REF!)</f>
        <v>#REF!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9"/>
      <c r="B306" s="9" t="s">
        <v>1062</v>
      </c>
      <c r="C306" s="32"/>
      <c r="D306" s="2"/>
      <c r="E306" s="9"/>
      <c r="F306" s="1"/>
      <c r="G306" s="1">
        <f>LEN(C305)</f>
        <v>0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9">
        <v>501</v>
      </c>
      <c r="B307" s="9" t="s">
        <v>1063</v>
      </c>
      <c r="C307" s="9" t="s">
        <v>302</v>
      </c>
      <c r="D307" s="10"/>
      <c r="E307" s="9" t="s">
        <v>303</v>
      </c>
      <c r="F307" s="1">
        <v>1</v>
      </c>
      <c r="G307" s="1">
        <f t="shared" ref="G307:G348" si="10">LEN(C307)</f>
        <v>24</v>
      </c>
      <c r="H307" s="1" t="str">
        <f t="shared" ref="H307:H313" si="11">CONCATENATE("insert into catInformation select ",A307,",'",C307,"',0,",F307)</f>
        <v>insert into catInformation select 501,'Fecha actual del sistema',0,1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9">
        <v>502</v>
      </c>
      <c r="B308" s="9" t="s">
        <v>1064</v>
      </c>
      <c r="C308" s="9" t="s">
        <v>304</v>
      </c>
      <c r="D308" s="10"/>
      <c r="E308" s="9" t="s">
        <v>305</v>
      </c>
      <c r="F308" s="1">
        <v>1</v>
      </c>
      <c r="G308" s="1">
        <f t="shared" si="10"/>
        <v>28</v>
      </c>
      <c r="H308" s="1" t="str">
        <f t="shared" si="11"/>
        <v>insert into catInformation select 502,'Hora del sistema HH:MM AM/PM',0,1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9">
        <v>503</v>
      </c>
      <c r="B309" s="9" t="s">
        <v>1065</v>
      </c>
      <c r="C309" s="9" t="s">
        <v>306</v>
      </c>
      <c r="D309" s="10"/>
      <c r="E309" s="9" t="s">
        <v>307</v>
      </c>
      <c r="F309" s="1">
        <v>1</v>
      </c>
      <c r="G309" s="1">
        <f t="shared" si="10"/>
        <v>24</v>
      </c>
      <c r="H309" s="1" t="str">
        <f t="shared" si="11"/>
        <v>insert into catInformation select 503,'Dia del mes del sistema ',0,1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9">
        <v>504</v>
      </c>
      <c r="B310" s="9" t="s">
        <v>1066</v>
      </c>
      <c r="C310" s="9" t="s">
        <v>308</v>
      </c>
      <c r="D310" s="10"/>
      <c r="E310" s="9" t="s">
        <v>309</v>
      </c>
      <c r="F310" s="1">
        <v>1</v>
      </c>
      <c r="G310" s="1">
        <f t="shared" si="10"/>
        <v>15</v>
      </c>
      <c r="H310" s="1" t="str">
        <f t="shared" si="11"/>
        <v>insert into catInformation select 504,'Mes del sistema',0,1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9">
        <v>505</v>
      </c>
      <c r="B311" s="9" t="s">
        <v>1067</v>
      </c>
      <c r="C311" s="9" t="s">
        <v>310</v>
      </c>
      <c r="D311" s="10"/>
      <c r="E311" s="9" t="s">
        <v>311</v>
      </c>
      <c r="F311" s="1">
        <v>1</v>
      </c>
      <c r="G311" s="1">
        <f t="shared" si="10"/>
        <v>15</v>
      </c>
      <c r="H311" s="1" t="str">
        <f t="shared" si="11"/>
        <v>insert into catInformation select 505,'Año del sistema',0,1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9">
        <v>506</v>
      </c>
      <c r="B312" s="9" t="s">
        <v>1068</v>
      </c>
      <c r="C312" s="9" t="s">
        <v>312</v>
      </c>
      <c r="D312" s="10"/>
      <c r="E312" s="9" t="s">
        <v>313</v>
      </c>
      <c r="F312" s="1">
        <v>1</v>
      </c>
      <c r="G312" s="1">
        <f t="shared" si="10"/>
        <v>49</v>
      </c>
      <c r="H312" s="1" t="str">
        <f t="shared" si="11"/>
        <v>insert into catInformation select 506,'Fecha del sistema formato largo dd de mmm de yyyy',0,1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9">
        <v>507</v>
      </c>
      <c r="C313" s="9" t="s">
        <v>314</v>
      </c>
      <c r="D313" s="10"/>
      <c r="E313" s="9" t="s">
        <v>315</v>
      </c>
      <c r="F313" s="1">
        <v>1</v>
      </c>
      <c r="G313" s="1">
        <f t="shared" si="10"/>
        <v>28</v>
      </c>
      <c r="H313" s="1" t="str">
        <f t="shared" si="11"/>
        <v>insert into catInformation select 507,'Nombre completo del usuario ',0,1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9">
        <v>508</v>
      </c>
      <c r="B314" s="9" t="s">
        <v>1069</v>
      </c>
      <c r="C314" s="9" t="s">
        <v>1070</v>
      </c>
      <c r="D314" s="10"/>
      <c r="E314" s="9" t="s">
        <v>309</v>
      </c>
      <c r="F314" s="1">
        <v>1</v>
      </c>
      <c r="G314" s="1">
        <f t="shared" si="10"/>
        <v>18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9">
        <v>600</v>
      </c>
      <c r="B315" s="9" t="s">
        <v>1071</v>
      </c>
      <c r="C315" s="9" t="s">
        <v>1072</v>
      </c>
      <c r="D315" s="10"/>
      <c r="E315" s="9" t="s">
        <v>1073</v>
      </c>
      <c r="F315" s="1">
        <v>2</v>
      </c>
      <c r="G315" s="1">
        <f t="shared" si="10"/>
        <v>38</v>
      </c>
      <c r="H315" s="1" t="str">
        <f t="shared" ref="H315:H340" si="12">CONCATENATE("insert into catInformation select ",A315,",'",C315,"',0,",F315)</f>
        <v>insert into catInformation select 600,'Puntaje obtenido por Arbol de decision',0,2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9">
        <v>601</v>
      </c>
      <c r="B316" s="9" t="s">
        <v>1074</v>
      </c>
      <c r="C316" s="9" t="s">
        <v>1075</v>
      </c>
      <c r="D316" s="10"/>
      <c r="E316" s="9" t="s">
        <v>1076</v>
      </c>
      <c r="F316" s="1">
        <v>1</v>
      </c>
      <c r="G316" s="1">
        <f t="shared" si="10"/>
        <v>46</v>
      </c>
      <c r="H316" s="1" t="str">
        <f t="shared" si="12"/>
        <v>insert into catInformation select 601,'Recomendacion por Puntaje en Arbol de decision',0,1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9">
        <v>602</v>
      </c>
      <c r="B317" s="9" t="s">
        <v>1077</v>
      </c>
      <c r="C317" s="9" t="s">
        <v>1078</v>
      </c>
      <c r="D317" s="10"/>
      <c r="E317" s="9" t="s">
        <v>1079</v>
      </c>
      <c r="F317" s="1">
        <v>1</v>
      </c>
      <c r="G317" s="1">
        <f t="shared" si="10"/>
        <v>42</v>
      </c>
      <c r="H317" s="1" t="str">
        <f t="shared" si="12"/>
        <v>insert into catInformation select 602,'Calificacion de Buro de Credito del Aval 1',0,1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9">
        <v>603</v>
      </c>
      <c r="B318" s="9" t="s">
        <v>1080</v>
      </c>
      <c r="C318" s="9" t="s">
        <v>1078</v>
      </c>
      <c r="D318" s="10"/>
      <c r="E318" s="9" t="s">
        <v>1081</v>
      </c>
      <c r="F318" s="1">
        <v>1</v>
      </c>
      <c r="G318" s="1">
        <f t="shared" si="10"/>
        <v>42</v>
      </c>
      <c r="H318" s="1" t="str">
        <f t="shared" si="12"/>
        <v>insert into catInformation select 603,'Calificacion de Buro de Credito del Aval 1',0,1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9">
        <v>604</v>
      </c>
      <c r="B319" s="9" t="s">
        <v>1082</v>
      </c>
      <c r="C319" s="9" t="s">
        <v>1083</v>
      </c>
      <c r="D319" s="10"/>
      <c r="E319" s="9" t="s">
        <v>1084</v>
      </c>
      <c r="F319" s="1">
        <v>1</v>
      </c>
      <c r="G319" s="1">
        <f t="shared" si="10"/>
        <v>42</v>
      </c>
      <c r="H319" s="1" t="str">
        <f t="shared" si="12"/>
        <v>insert into catInformation select 604,'Calificacion de Buro de Credito del Aval 2',0,1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9">
        <v>605</v>
      </c>
      <c r="B320" s="9" t="s">
        <v>1085</v>
      </c>
      <c r="C320" s="9" t="s">
        <v>1083</v>
      </c>
      <c r="D320" s="10"/>
      <c r="E320" s="9" t="s">
        <v>1086</v>
      </c>
      <c r="F320" s="1">
        <v>1</v>
      </c>
      <c r="G320" s="1">
        <f t="shared" si="10"/>
        <v>42</v>
      </c>
      <c r="H320" s="1" t="str">
        <f t="shared" si="12"/>
        <v>insert into catInformation select 605,'Calificacion de Buro de Credito del Aval 2',0,1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9">
        <v>606</v>
      </c>
      <c r="B321" s="9" t="s">
        <v>1087</v>
      </c>
      <c r="C321" s="9" t="s">
        <v>1088</v>
      </c>
      <c r="D321" s="10"/>
      <c r="E321" s="9" t="s">
        <v>1089</v>
      </c>
      <c r="F321" s="1">
        <v>1</v>
      </c>
      <c r="G321" s="1">
        <f t="shared" si="10"/>
        <v>45</v>
      </c>
      <c r="H321" s="1" t="str">
        <f t="shared" si="12"/>
        <v>insert into catInformation select 606,'Motivo de Rechazo por Politicas de Riesgo (1)',0,1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9">
        <v>607</v>
      </c>
      <c r="B322" s="9" t="s">
        <v>1090</v>
      </c>
      <c r="C322" s="9" t="s">
        <v>1091</v>
      </c>
      <c r="D322" s="10"/>
      <c r="E322" s="9" t="s">
        <v>1092</v>
      </c>
      <c r="F322" s="1">
        <v>1</v>
      </c>
      <c r="G322" s="1">
        <f t="shared" si="10"/>
        <v>45</v>
      </c>
      <c r="H322" s="1" t="str">
        <f t="shared" si="12"/>
        <v>insert into catInformation select 607,'Motivo de Rechazo por Politicas de Riesgo (2)',0,1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9">
        <v>608</v>
      </c>
      <c r="B323" s="9" t="s">
        <v>1093</v>
      </c>
      <c r="C323" s="9" t="s">
        <v>1094</v>
      </c>
      <c r="D323" s="10"/>
      <c r="E323" s="9" t="s">
        <v>1095</v>
      </c>
      <c r="F323" s="1">
        <v>1</v>
      </c>
      <c r="G323" s="1">
        <f t="shared" si="10"/>
        <v>45</v>
      </c>
      <c r="H323" s="1" t="str">
        <f t="shared" si="12"/>
        <v>insert into catInformation select 608,'Motivo de Rechazo por Politicas de Riesgo (3)',0,1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9">
        <v>609</v>
      </c>
      <c r="B324" s="9" t="s">
        <v>1096</v>
      </c>
      <c r="C324" s="9" t="s">
        <v>1097</v>
      </c>
      <c r="D324" s="10"/>
      <c r="E324" s="9" t="s">
        <v>1098</v>
      </c>
      <c r="F324" s="1">
        <v>1</v>
      </c>
      <c r="G324" s="1">
        <f t="shared" si="10"/>
        <v>45</v>
      </c>
      <c r="H324" s="1" t="str">
        <f t="shared" si="12"/>
        <v>insert into catInformation select 609,'Motivo de Rechazo por Politicas de Riesgo (4)',0,1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9">
        <v>610</v>
      </c>
      <c r="B325" s="9" t="s">
        <v>1099</v>
      </c>
      <c r="C325" s="9" t="s">
        <v>1100</v>
      </c>
      <c r="D325" s="10"/>
      <c r="E325" s="9" t="s">
        <v>1101</v>
      </c>
      <c r="F325" s="1">
        <v>1</v>
      </c>
      <c r="G325" s="1">
        <f t="shared" si="10"/>
        <v>45</v>
      </c>
      <c r="H325" s="1" t="str">
        <f t="shared" si="12"/>
        <v>insert into catInformation select 610,'Motivo de Rechazo por Politicas de Riesgo (5)',0,1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9">
        <v>611</v>
      </c>
      <c r="B326" s="9" t="s">
        <v>1102</v>
      </c>
      <c r="C326" s="9" t="s">
        <v>1103</v>
      </c>
      <c r="D326" s="10"/>
      <c r="E326" s="9" t="s">
        <v>1104</v>
      </c>
      <c r="F326" s="1">
        <v>1</v>
      </c>
      <c r="G326" s="1">
        <f t="shared" si="10"/>
        <v>45</v>
      </c>
      <c r="H326" s="1" t="str">
        <f t="shared" si="12"/>
        <v>insert into catInformation select 611,'Motivo de Rechazo por Politicas de Riesgo (6)',0,1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9">
        <v>612</v>
      </c>
      <c r="B327" s="9" t="s">
        <v>1105</v>
      </c>
      <c r="C327" s="9" t="s">
        <v>1106</v>
      </c>
      <c r="D327" s="10"/>
      <c r="E327" s="9" t="s">
        <v>1107</v>
      </c>
      <c r="F327" s="1">
        <v>1</v>
      </c>
      <c r="G327" s="1">
        <f t="shared" si="10"/>
        <v>45</v>
      </c>
      <c r="H327" s="1" t="str">
        <f t="shared" si="12"/>
        <v>insert into catInformation select 612,'Motivo de Rechazo por Politicas de Riesgo (7)',0,1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9">
        <v>613</v>
      </c>
      <c r="B328" s="9" t="s">
        <v>1108</v>
      </c>
      <c r="C328" s="9" t="s">
        <v>1109</v>
      </c>
      <c r="D328" s="10"/>
      <c r="E328" s="9" t="s">
        <v>1110</v>
      </c>
      <c r="F328" s="1">
        <v>1</v>
      </c>
      <c r="G328" s="1">
        <f t="shared" si="10"/>
        <v>45</v>
      </c>
      <c r="H328" s="1" t="str">
        <f t="shared" si="12"/>
        <v>insert into catInformation select 613,'Motivo de Rechazo por Politicas de Riesgo (8)',0,1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9">
        <v>614</v>
      </c>
      <c r="B329" s="9" t="s">
        <v>1111</v>
      </c>
      <c r="C329" s="9" t="s">
        <v>1112</v>
      </c>
      <c r="D329" s="10"/>
      <c r="E329" s="9" t="s">
        <v>1113</v>
      </c>
      <c r="F329" s="1">
        <v>1</v>
      </c>
      <c r="G329" s="1">
        <f t="shared" si="10"/>
        <v>45</v>
      </c>
      <c r="H329" s="1" t="str">
        <f t="shared" si="12"/>
        <v>insert into catInformation select 614,'Motivo de Rechazo por Politicas de Riesgo (9)',0,1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9">
        <v>615</v>
      </c>
      <c r="B330" s="9" t="s">
        <v>1114</v>
      </c>
      <c r="C330" s="9" t="s">
        <v>1115</v>
      </c>
      <c r="D330" s="10"/>
      <c r="E330" s="9" t="s">
        <v>1116</v>
      </c>
      <c r="F330" s="1">
        <v>1</v>
      </c>
      <c r="G330" s="1">
        <f t="shared" si="10"/>
        <v>46</v>
      </c>
      <c r="H330" s="1" t="str">
        <f t="shared" si="12"/>
        <v>insert into catInformation select 615,'Motivo de Rechazo por Politicas de Riesgo (10)',0,1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9">
        <v>618</v>
      </c>
      <c r="B331" s="9" t="s">
        <v>1117</v>
      </c>
      <c r="C331" s="9" t="s">
        <v>1118</v>
      </c>
      <c r="D331" s="10"/>
      <c r="E331" s="9" t="s">
        <v>1119</v>
      </c>
      <c r="F331" s="1">
        <v>1</v>
      </c>
      <c r="G331" s="1">
        <f t="shared" si="10"/>
        <v>48</v>
      </c>
      <c r="H331" s="1" t="str">
        <f t="shared" si="12"/>
        <v>insert into catInformation select 618,'Calificacion de Buro de Credito del Coacreditado',0,1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9">
        <v>619</v>
      </c>
      <c r="B332" s="9" t="s">
        <v>1120</v>
      </c>
      <c r="C332" s="9" t="s">
        <v>1118</v>
      </c>
      <c r="D332" s="10"/>
      <c r="E332" s="9" t="s">
        <v>1121</v>
      </c>
      <c r="F332" s="1">
        <v>1</v>
      </c>
      <c r="G332" s="1">
        <f t="shared" si="10"/>
        <v>48</v>
      </c>
      <c r="H332" s="1" t="str">
        <f t="shared" si="12"/>
        <v>insert into catInformation select 619,'Calificacion de Buro de Credito del Coacreditado',0,1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9">
        <v>620</v>
      </c>
      <c r="B333" s="9" t="s">
        <v>1122</v>
      </c>
      <c r="C333" s="9" t="s">
        <v>1123</v>
      </c>
      <c r="D333" s="10"/>
      <c r="E333" s="9" t="s">
        <v>1124</v>
      </c>
      <c r="F333" s="1">
        <v>1</v>
      </c>
      <c r="G333" s="1">
        <f t="shared" si="10"/>
        <v>46</v>
      </c>
      <c r="H333" s="1" t="str">
        <f t="shared" si="12"/>
        <v>insert into catInformation select 620,'Calificacion de Buro de Credito del Rep. Legal',0,1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9">
        <v>621</v>
      </c>
      <c r="B334" s="9" t="s">
        <v>1125</v>
      </c>
      <c r="C334" s="9" t="s">
        <v>1126</v>
      </c>
      <c r="D334" s="10"/>
      <c r="E334" s="9" t="s">
        <v>1127</v>
      </c>
      <c r="F334" s="1">
        <v>1</v>
      </c>
      <c r="G334" s="1">
        <f t="shared" si="10"/>
        <v>48</v>
      </c>
      <c r="H334" s="1" t="str">
        <f t="shared" si="12"/>
        <v>insert into catInformation select 621,'Etiqueta Calificacion Buro de Credito Rep. Legal',0,1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9">
        <v>622</v>
      </c>
      <c r="B335" s="9" t="s">
        <v>1128</v>
      </c>
      <c r="C335" s="18" t="s">
        <v>1129</v>
      </c>
      <c r="D335" s="10"/>
      <c r="E335" s="9" t="s">
        <v>1130</v>
      </c>
      <c r="F335" s="1">
        <v>1</v>
      </c>
      <c r="G335" s="1">
        <f t="shared" si="10"/>
        <v>16</v>
      </c>
      <c r="H335" s="1" t="str">
        <f t="shared" si="12"/>
        <v>insert into catInformation select 622,'Clave de Campaña',0,1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9">
        <v>623</v>
      </c>
      <c r="B336" s="9" t="s">
        <v>1131</v>
      </c>
      <c r="C336" s="18" t="s">
        <v>1132</v>
      </c>
      <c r="D336" s="10"/>
      <c r="E336" s="9" t="s">
        <v>1133</v>
      </c>
      <c r="F336" s="1">
        <v>1</v>
      </c>
      <c r="G336" s="1">
        <f t="shared" si="10"/>
        <v>25</v>
      </c>
      <c r="H336" s="1" t="str">
        <f t="shared" si="12"/>
        <v>insert into catInformation select 623,'Descripcion de la Campaña',0,1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2">
        <v>624</v>
      </c>
      <c r="B337" s="12" t="s">
        <v>1134</v>
      </c>
      <c r="C337" s="13" t="s">
        <v>1135</v>
      </c>
      <c r="D337" s="21"/>
      <c r="E337" s="12" t="s">
        <v>1136</v>
      </c>
      <c r="F337" s="1">
        <v>1</v>
      </c>
      <c r="G337" s="1">
        <f t="shared" si="10"/>
        <v>17</v>
      </c>
      <c r="H337" s="1" t="str">
        <f t="shared" si="12"/>
        <v>insert into catInformation select 624,'Clave de Sucursal',0,1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2">
        <v>625</v>
      </c>
      <c r="B338" s="12" t="s">
        <v>1137</v>
      </c>
      <c r="C338" s="13" t="s">
        <v>1138</v>
      </c>
      <c r="D338" s="21"/>
      <c r="E338" s="12" t="s">
        <v>1139</v>
      </c>
      <c r="F338" s="1">
        <v>1</v>
      </c>
      <c r="G338" s="1">
        <f t="shared" si="10"/>
        <v>26</v>
      </c>
      <c r="H338" s="1" t="str">
        <f t="shared" si="12"/>
        <v>insert into catInformation select 625,'Descripcion de la Sucursal',0,1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2">
        <v>626</v>
      </c>
      <c r="B339" s="12" t="s">
        <v>1140</v>
      </c>
      <c r="C339" s="13" t="s">
        <v>1141</v>
      </c>
      <c r="D339" s="21"/>
      <c r="E339" s="12" t="s">
        <v>1142</v>
      </c>
      <c r="F339" s="1">
        <v>2</v>
      </c>
      <c r="G339" s="1">
        <f t="shared" si="10"/>
        <v>23</v>
      </c>
      <c r="H339" s="1" t="str">
        <f t="shared" si="12"/>
        <v>insert into catInformation select 626,'Tasa de Interes Mensual',0,2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2">
        <v>627</v>
      </c>
      <c r="B340" s="12" t="s">
        <v>1143</v>
      </c>
      <c r="C340" s="13" t="s">
        <v>1144</v>
      </c>
      <c r="D340" s="21"/>
      <c r="E340" s="12" t="s">
        <v>1145</v>
      </c>
      <c r="F340" s="1">
        <v>1</v>
      </c>
      <c r="G340" s="1">
        <f t="shared" si="10"/>
        <v>33</v>
      </c>
      <c r="H340" s="1" t="str">
        <f t="shared" si="12"/>
        <v>insert into catInformation select 627,'Tasa de Interes Mensual en Letras',0,1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9">
        <v>628</v>
      </c>
      <c r="B341" s="33" t="s">
        <v>1146</v>
      </c>
      <c r="C341" s="18" t="s">
        <v>1147</v>
      </c>
      <c r="D341" s="10"/>
      <c r="E341" s="9"/>
      <c r="F341" s="1"/>
      <c r="G341" s="1">
        <f t="shared" si="10"/>
        <v>21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9">
        <v>631</v>
      </c>
      <c r="B342" s="19" t="s">
        <v>1148</v>
      </c>
      <c r="C342" s="20" t="s">
        <v>1149</v>
      </c>
      <c r="D342" s="28"/>
      <c r="E342" s="19" t="s">
        <v>1150</v>
      </c>
      <c r="F342" s="34">
        <v>1</v>
      </c>
      <c r="G342" s="1">
        <f t="shared" si="10"/>
        <v>33</v>
      </c>
      <c r="H342" s="1" t="str">
        <f t="shared" ref="H342:H348" si="13">CONCATENATE("insert into catInformation select ",A342,",'",C342,"',0,",F342)</f>
        <v>insert into catInformation select 631,'Telefono de domicilio del  aval 1',0,1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9">
        <v>632</v>
      </c>
      <c r="B343" s="19" t="s">
        <v>1151</v>
      </c>
      <c r="C343" s="20" t="s">
        <v>1152</v>
      </c>
      <c r="D343" s="28"/>
      <c r="E343" s="19" t="s">
        <v>1153</v>
      </c>
      <c r="F343" s="34">
        <v>2</v>
      </c>
      <c r="G343" s="1">
        <f t="shared" si="10"/>
        <v>41</v>
      </c>
      <c r="H343" s="1" t="str">
        <f t="shared" si="13"/>
        <v>insert into catInformation select 632,'Importe Garantia Real Ofrecida por aval 1',0,2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9">
        <v>633</v>
      </c>
      <c r="B344" s="19" t="s">
        <v>1154</v>
      </c>
      <c r="C344" s="20" t="s">
        <v>1155</v>
      </c>
      <c r="D344" s="28"/>
      <c r="E344" s="19" t="s">
        <v>1156</v>
      </c>
      <c r="F344" s="34">
        <v>1</v>
      </c>
      <c r="G344" s="1">
        <f t="shared" si="10"/>
        <v>39</v>
      </c>
      <c r="H344" s="1" t="str">
        <f t="shared" si="13"/>
        <v>insert into catInformation select 633,'Tipo de Garantia ofrecida por el Aval 1',0,1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9">
        <v>634</v>
      </c>
      <c r="B345" s="19" t="s">
        <v>1157</v>
      </c>
      <c r="C345" s="20" t="s">
        <v>1158</v>
      </c>
      <c r="D345" s="28"/>
      <c r="E345" s="19" t="s">
        <v>1159</v>
      </c>
      <c r="F345" s="34">
        <v>1</v>
      </c>
      <c r="G345" s="1">
        <f t="shared" si="10"/>
        <v>48</v>
      </c>
      <c r="H345" s="1" t="str">
        <f t="shared" si="13"/>
        <v>insert into catInformation select 634,'Etiqueta Tipo de Garantia ofrecida por el Aval 1',0,1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9">
        <v>635</v>
      </c>
      <c r="B346" s="19" t="s">
        <v>1160</v>
      </c>
      <c r="C346" s="20" t="s">
        <v>1161</v>
      </c>
      <c r="D346" s="28"/>
      <c r="E346" s="19" t="s">
        <v>1162</v>
      </c>
      <c r="F346" s="34">
        <v>1</v>
      </c>
      <c r="G346" s="1">
        <f t="shared" si="10"/>
        <v>32</v>
      </c>
      <c r="H346" s="1" t="str">
        <f t="shared" si="13"/>
        <v>insert into catInformation select 635,'Nombre del Arrendador del Aval 1',0,1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9">
        <v>636</v>
      </c>
      <c r="B347" s="19" t="s">
        <v>1163</v>
      </c>
      <c r="C347" s="20" t="s">
        <v>1164</v>
      </c>
      <c r="D347" s="28"/>
      <c r="E347" s="19" t="s">
        <v>1165</v>
      </c>
      <c r="F347" s="34">
        <v>1</v>
      </c>
      <c r="G347" s="1">
        <f t="shared" si="10"/>
        <v>34</v>
      </c>
      <c r="H347" s="1" t="str">
        <f t="shared" si="13"/>
        <v>insert into catInformation select 636,'Telefono del Arrendador del Aval 1',0,1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2">
        <v>637</v>
      </c>
      <c r="B348" s="12" t="s">
        <v>1166</v>
      </c>
      <c r="C348" s="13" t="s">
        <v>1167</v>
      </c>
      <c r="D348" s="21"/>
      <c r="E348" s="12" t="s">
        <v>1168</v>
      </c>
      <c r="F348" s="34">
        <v>1</v>
      </c>
      <c r="G348" s="1">
        <f t="shared" si="10"/>
        <v>11</v>
      </c>
      <c r="H348" s="1" t="str">
        <f t="shared" si="13"/>
        <v>insert into catInformation select 637,'RFC  aval 1',0,1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9"/>
      <c r="B349" s="9"/>
      <c r="C349" s="18"/>
      <c r="D349" s="10"/>
      <c r="E349" s="9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9">
        <v>651</v>
      </c>
      <c r="B350" s="19" t="s">
        <v>1169</v>
      </c>
      <c r="C350" s="20" t="s">
        <v>1170</v>
      </c>
      <c r="D350" s="28"/>
      <c r="E350" s="19" t="s">
        <v>1171</v>
      </c>
      <c r="F350" s="34">
        <v>1</v>
      </c>
      <c r="G350" s="1">
        <f t="shared" ref="G350:G356" si="14">LEN(C350)</f>
        <v>33</v>
      </c>
      <c r="H350" s="1" t="str">
        <f t="shared" ref="H350:H356" si="15">CONCATENATE("insert into catInformation select ",A350,",'",C350,"',0,",F350)</f>
        <v>insert into catInformation select 651,'Telefono de domicilio del  aval 2',0,1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9">
        <v>652</v>
      </c>
      <c r="B351" s="19" t="s">
        <v>1172</v>
      </c>
      <c r="C351" s="20" t="s">
        <v>1173</v>
      </c>
      <c r="D351" s="28"/>
      <c r="E351" s="19" t="s">
        <v>1174</v>
      </c>
      <c r="F351" s="34">
        <v>2</v>
      </c>
      <c r="G351" s="1">
        <f t="shared" si="14"/>
        <v>41</v>
      </c>
      <c r="H351" s="1" t="str">
        <f t="shared" si="15"/>
        <v>insert into catInformation select 652,'Importe Garantia Real Ofrecida por aval 2',0,2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9">
        <v>653</v>
      </c>
      <c r="B352" s="19" t="s">
        <v>1175</v>
      </c>
      <c r="C352" s="20" t="s">
        <v>1176</v>
      </c>
      <c r="D352" s="28"/>
      <c r="E352" s="19" t="s">
        <v>1177</v>
      </c>
      <c r="F352" s="34">
        <v>1</v>
      </c>
      <c r="G352" s="1">
        <f t="shared" si="14"/>
        <v>39</v>
      </c>
      <c r="H352" s="1" t="str">
        <f t="shared" si="15"/>
        <v>insert into catInformation select 653,'Tipo de Garantia ofrecida por el Aval 2',0,1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9">
        <v>654</v>
      </c>
      <c r="B353" s="19" t="s">
        <v>1178</v>
      </c>
      <c r="C353" s="20" t="s">
        <v>1179</v>
      </c>
      <c r="D353" s="28"/>
      <c r="E353" s="19" t="s">
        <v>1180</v>
      </c>
      <c r="F353" s="34">
        <v>1</v>
      </c>
      <c r="G353" s="1">
        <f t="shared" si="14"/>
        <v>48</v>
      </c>
      <c r="H353" s="1" t="str">
        <f t="shared" si="15"/>
        <v>insert into catInformation select 654,'Etiqueta Tipo de Garantia ofrecida por el Aval 2',0,1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9">
        <v>655</v>
      </c>
      <c r="B354" s="19" t="s">
        <v>1181</v>
      </c>
      <c r="C354" s="20" t="s">
        <v>1182</v>
      </c>
      <c r="D354" s="28"/>
      <c r="E354" s="19" t="s">
        <v>1183</v>
      </c>
      <c r="F354" s="34">
        <v>1</v>
      </c>
      <c r="G354" s="1">
        <f t="shared" si="14"/>
        <v>32</v>
      </c>
      <c r="H354" s="1" t="str">
        <f t="shared" si="15"/>
        <v>insert into catInformation select 655,'Nombre del Arrendador del Aval 2',0,1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9">
        <v>656</v>
      </c>
      <c r="B355" s="19" t="s">
        <v>1184</v>
      </c>
      <c r="C355" s="20" t="s">
        <v>1185</v>
      </c>
      <c r="D355" s="28"/>
      <c r="E355" s="19" t="s">
        <v>1186</v>
      </c>
      <c r="F355" s="34">
        <v>1</v>
      </c>
      <c r="G355" s="1">
        <f t="shared" si="14"/>
        <v>34</v>
      </c>
      <c r="H355" s="1" t="str">
        <f t="shared" si="15"/>
        <v>insert into catInformation select 656,'Telefono del Arrendador del Aval 2',0,1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2">
        <v>657</v>
      </c>
      <c r="B356" s="12" t="s">
        <v>1187</v>
      </c>
      <c r="C356" s="13" t="s">
        <v>1188</v>
      </c>
      <c r="D356" s="21"/>
      <c r="E356" s="12" t="s">
        <v>1189</v>
      </c>
      <c r="F356" s="34">
        <v>1</v>
      </c>
      <c r="G356" s="1">
        <f t="shared" si="14"/>
        <v>11</v>
      </c>
      <c r="H356" s="1" t="str">
        <f t="shared" si="15"/>
        <v>insert into catInformation select 657,'RFC  aval 2',0,1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9"/>
      <c r="B357" s="9"/>
      <c r="C357" s="18"/>
      <c r="D357" s="10"/>
      <c r="E357" s="9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9">
        <v>701</v>
      </c>
      <c r="B358" s="9" t="s">
        <v>1190</v>
      </c>
      <c r="C358" s="18" t="s">
        <v>1191</v>
      </c>
      <c r="D358" s="10"/>
      <c r="E358" s="9" t="s">
        <v>152</v>
      </c>
      <c r="F358" s="1">
        <v>1</v>
      </c>
      <c r="G358" s="1">
        <f t="shared" ref="G358:G445" si="16">LEN(C358)</f>
        <v>15</v>
      </c>
      <c r="H358" s="1" t="str">
        <f t="shared" ref="H358:H445" si="17">CONCATENATE("insert into catInformation select ",A358,",'",C358,"',0,",F358)</f>
        <v>insert into catInformation select 701,'Nombre del Aval',0,1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9">
        <v>702</v>
      </c>
      <c r="B359" s="9" t="s">
        <v>1192</v>
      </c>
      <c r="C359" s="9" t="s">
        <v>230</v>
      </c>
      <c r="D359" s="10"/>
      <c r="E359" s="9" t="s">
        <v>231</v>
      </c>
      <c r="F359" s="1">
        <v>1</v>
      </c>
      <c r="G359" s="1">
        <f t="shared" si="16"/>
        <v>21</v>
      </c>
      <c r="H359" s="1" t="str">
        <f t="shared" si="17"/>
        <v>insert into catInformation select 702,'Nacionalidad del Aval',0,1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9">
        <v>703</v>
      </c>
      <c r="B360" s="9" t="s">
        <v>1193</v>
      </c>
      <c r="C360" s="9" t="s">
        <v>232</v>
      </c>
      <c r="D360" s="10"/>
      <c r="E360" s="9" t="s">
        <v>233</v>
      </c>
      <c r="F360" s="1">
        <v>1</v>
      </c>
      <c r="G360" s="1">
        <f t="shared" si="16"/>
        <v>25</v>
      </c>
      <c r="H360" s="1" t="str">
        <f t="shared" si="17"/>
        <v>insert into catInformation select 703,'Tipo de Relacion del Aval',0,1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9">
        <v>704</v>
      </c>
      <c r="B361" s="9" t="s">
        <v>1194</v>
      </c>
      <c r="C361" s="9" t="s">
        <v>1195</v>
      </c>
      <c r="D361" s="10"/>
      <c r="E361" s="9" t="s">
        <v>1196</v>
      </c>
      <c r="F361" s="1">
        <v>1</v>
      </c>
      <c r="G361" s="1">
        <f t="shared" si="16"/>
        <v>24</v>
      </c>
      <c r="H361" s="1" t="str">
        <f t="shared" si="17"/>
        <v>insert into catInformation select 704,'Calle Domicilio del Aval',0,1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9">
        <v>705</v>
      </c>
      <c r="B362" s="9" t="s">
        <v>1197</v>
      </c>
      <c r="C362" s="9" t="s">
        <v>1198</v>
      </c>
      <c r="D362" s="10"/>
      <c r="E362" s="9" t="s">
        <v>1199</v>
      </c>
      <c r="F362" s="1">
        <v>1</v>
      </c>
      <c r="G362" s="1">
        <f t="shared" si="16"/>
        <v>34</v>
      </c>
      <c r="H362" s="1" t="str">
        <f t="shared" si="17"/>
        <v>insert into catInformation select 705,'Numero Exterior Domicilio del Aval',0,1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9">
        <v>706</v>
      </c>
      <c r="B363" s="9" t="s">
        <v>1200</v>
      </c>
      <c r="C363" s="9" t="s">
        <v>1201</v>
      </c>
      <c r="D363" s="10"/>
      <c r="E363" s="9" t="s">
        <v>1202</v>
      </c>
      <c r="F363" s="1">
        <v>1</v>
      </c>
      <c r="G363" s="1">
        <f t="shared" si="16"/>
        <v>34</v>
      </c>
      <c r="H363" s="1" t="str">
        <f t="shared" si="17"/>
        <v>insert into catInformation select 706,'Numero Interior Domicilio del Aval',0,1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9">
        <v>707</v>
      </c>
      <c r="B364" s="9" t="s">
        <v>1203</v>
      </c>
      <c r="C364" s="9" t="s">
        <v>1204</v>
      </c>
      <c r="D364" s="10"/>
      <c r="E364" s="9" t="s">
        <v>1205</v>
      </c>
      <c r="F364" s="1">
        <v>1</v>
      </c>
      <c r="G364" s="1">
        <f t="shared" si="16"/>
        <v>34</v>
      </c>
      <c r="H364" s="1" t="str">
        <f t="shared" si="17"/>
        <v>insert into catInformation select 707,'Cruzamiento del domicilio del Aval',0,1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9">
        <v>708</v>
      </c>
      <c r="B365" s="9" t="s">
        <v>1206</v>
      </c>
      <c r="C365" s="9" t="s">
        <v>234</v>
      </c>
      <c r="D365" s="10"/>
      <c r="E365" s="9" t="s">
        <v>235</v>
      </c>
      <c r="F365" s="1">
        <v>1</v>
      </c>
      <c r="G365" s="1">
        <f t="shared" si="16"/>
        <v>16</v>
      </c>
      <c r="H365" s="1" t="str">
        <f t="shared" si="17"/>
        <v>insert into catInformation select 708,'Colonia del Aval',0,1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9">
        <v>709</v>
      </c>
      <c r="B366" s="9" t="s">
        <v>1207</v>
      </c>
      <c r="C366" s="9" t="s">
        <v>1208</v>
      </c>
      <c r="D366" s="10"/>
      <c r="E366" s="9" t="s">
        <v>236</v>
      </c>
      <c r="F366" s="1">
        <v>1</v>
      </c>
      <c r="G366" s="1">
        <f t="shared" si="16"/>
        <v>18</v>
      </c>
      <c r="H366" s="1" t="str">
        <f t="shared" si="17"/>
        <v>insert into catInformation select 709,'Localidad del Aval',0,1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9">
        <v>710</v>
      </c>
      <c r="B367" s="9" t="s">
        <v>1209</v>
      </c>
      <c r="C367" s="9" t="s">
        <v>1210</v>
      </c>
      <c r="D367" s="10"/>
      <c r="E367" s="9" t="s">
        <v>237</v>
      </c>
      <c r="F367" s="1">
        <v>1</v>
      </c>
      <c r="G367" s="1">
        <f t="shared" si="16"/>
        <v>27</v>
      </c>
      <c r="H367" s="1" t="str">
        <f t="shared" si="17"/>
        <v>insert into catInformation select 710,'Municipio / Ciudad del Aval',0,1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9">
        <v>711</v>
      </c>
      <c r="B368" s="9" t="s">
        <v>1211</v>
      </c>
      <c r="C368" s="18" t="s">
        <v>1212</v>
      </c>
      <c r="D368" s="10"/>
      <c r="E368" s="9" t="s">
        <v>1213</v>
      </c>
      <c r="F368" s="1">
        <v>1</v>
      </c>
      <c r="G368" s="1">
        <f t="shared" si="16"/>
        <v>25</v>
      </c>
      <c r="H368" s="1" t="str">
        <f t="shared" si="17"/>
        <v>insert into catInformation select 711,'Nombre del Segundo Aval. ',0,1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9">
        <v>712</v>
      </c>
      <c r="B369" s="9" t="s">
        <v>1214</v>
      </c>
      <c r="C369" s="9" t="s">
        <v>1215</v>
      </c>
      <c r="D369" s="10"/>
      <c r="E369" s="9" t="s">
        <v>1216</v>
      </c>
      <c r="F369" s="1">
        <v>1</v>
      </c>
      <c r="G369" s="1">
        <f t="shared" si="16"/>
        <v>23</v>
      </c>
      <c r="H369" s="1" t="str">
        <f t="shared" si="17"/>
        <v>insert into catInformation select 712,'Nacionalidad del Aval 2',0,1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9">
        <v>713</v>
      </c>
      <c r="B370" s="9" t="s">
        <v>1217</v>
      </c>
      <c r="C370" s="9" t="s">
        <v>1218</v>
      </c>
      <c r="D370" s="10"/>
      <c r="E370" s="9" t="s">
        <v>1219</v>
      </c>
      <c r="F370" s="1">
        <v>1</v>
      </c>
      <c r="G370" s="1">
        <f t="shared" si="16"/>
        <v>27</v>
      </c>
      <c r="H370" s="1" t="str">
        <f t="shared" si="17"/>
        <v>insert into catInformation select 713,'Tipo de Relacion del Aval 2',0,1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9">
        <v>714</v>
      </c>
      <c r="B371" s="9" t="s">
        <v>1220</v>
      </c>
      <c r="C371" s="9" t="s">
        <v>1221</v>
      </c>
      <c r="D371" s="10"/>
      <c r="E371" s="9" t="s">
        <v>1222</v>
      </c>
      <c r="F371" s="1">
        <v>1</v>
      </c>
      <c r="G371" s="1">
        <f t="shared" si="16"/>
        <v>26</v>
      </c>
      <c r="H371" s="1" t="str">
        <f t="shared" si="17"/>
        <v>insert into catInformation select 714,'Calle Domicilio del Aval 2',0,1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9">
        <v>715</v>
      </c>
      <c r="B372" s="9" t="s">
        <v>1223</v>
      </c>
      <c r="C372" s="9" t="s">
        <v>1224</v>
      </c>
      <c r="D372" s="10"/>
      <c r="E372" s="9" t="s">
        <v>1225</v>
      </c>
      <c r="F372" s="1">
        <v>1</v>
      </c>
      <c r="G372" s="1">
        <f t="shared" si="16"/>
        <v>37</v>
      </c>
      <c r="H372" s="1" t="str">
        <f t="shared" si="17"/>
        <v>insert into catInformation select 715,'Numero Exterior Domicilio del Aval  2',0,1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9">
        <v>716</v>
      </c>
      <c r="B373" s="9" t="s">
        <v>1226</v>
      </c>
      <c r="C373" s="9" t="s">
        <v>1227</v>
      </c>
      <c r="D373" s="10"/>
      <c r="E373" s="9" t="s">
        <v>1228</v>
      </c>
      <c r="F373" s="1">
        <v>1</v>
      </c>
      <c r="G373" s="1">
        <f t="shared" si="16"/>
        <v>37</v>
      </c>
      <c r="H373" s="1" t="str">
        <f t="shared" si="17"/>
        <v>insert into catInformation select 716,'Numero Interior Domicilio del Aval  2',0,1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9">
        <v>717</v>
      </c>
      <c r="B374" s="9" t="s">
        <v>1229</v>
      </c>
      <c r="C374" s="9" t="s">
        <v>1230</v>
      </c>
      <c r="D374" s="10"/>
      <c r="E374" s="9" t="s">
        <v>1231</v>
      </c>
      <c r="F374" s="1">
        <v>1</v>
      </c>
      <c r="G374" s="1">
        <f t="shared" si="16"/>
        <v>33</v>
      </c>
      <c r="H374" s="1" t="str">
        <f t="shared" si="17"/>
        <v>insert into catInformation select 717,'Cruzamiento Domicilio del Aval  2',0,1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9">
        <v>718</v>
      </c>
      <c r="B375" s="9" t="s">
        <v>1232</v>
      </c>
      <c r="C375" s="9" t="s">
        <v>1233</v>
      </c>
      <c r="D375" s="10"/>
      <c r="E375" s="9" t="s">
        <v>1234</v>
      </c>
      <c r="F375" s="1">
        <v>1</v>
      </c>
      <c r="G375" s="1">
        <f t="shared" si="16"/>
        <v>18</v>
      </c>
      <c r="H375" s="1" t="str">
        <f t="shared" si="17"/>
        <v>insert into catInformation select 718,'Colonia del Aval 2',0,1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9">
        <v>719</v>
      </c>
      <c r="B376" s="9" t="s">
        <v>1235</v>
      </c>
      <c r="C376" s="9" t="s">
        <v>1236</v>
      </c>
      <c r="D376" s="10"/>
      <c r="E376" s="9" t="s">
        <v>1237</v>
      </c>
      <c r="F376" s="1">
        <v>1</v>
      </c>
      <c r="G376" s="1">
        <f t="shared" si="16"/>
        <v>20</v>
      </c>
      <c r="H376" s="1" t="str">
        <f t="shared" si="17"/>
        <v>insert into catInformation select 719,'Localidad del Aval 2',0,1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9">
        <v>720</v>
      </c>
      <c r="B377" s="9" t="s">
        <v>1238</v>
      </c>
      <c r="C377" s="9" t="s">
        <v>1239</v>
      </c>
      <c r="D377" s="10"/>
      <c r="E377" s="9" t="s">
        <v>1240</v>
      </c>
      <c r="F377" s="1">
        <v>1</v>
      </c>
      <c r="G377" s="1">
        <f t="shared" si="16"/>
        <v>29</v>
      </c>
      <c r="H377" s="1" t="str">
        <f t="shared" si="17"/>
        <v>insert into catInformation select 720,'Municipio / Ciudad del Aval 2',0,1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9">
        <v>721</v>
      </c>
      <c r="B378" s="9" t="s">
        <v>1241</v>
      </c>
      <c r="C378" s="18" t="s">
        <v>1242</v>
      </c>
      <c r="D378" s="10"/>
      <c r="E378" s="9" t="s">
        <v>1243</v>
      </c>
      <c r="F378" s="1">
        <v>1</v>
      </c>
      <c r="G378" s="1">
        <f t="shared" si="16"/>
        <v>23</v>
      </c>
      <c r="H378" s="1" t="str">
        <f t="shared" si="17"/>
        <v>insert into catInformation select 721,'Nombre del Coacreditado',0,1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9">
        <v>722</v>
      </c>
      <c r="B379" s="9" t="s">
        <v>1244</v>
      </c>
      <c r="C379" s="9" t="s">
        <v>1245</v>
      </c>
      <c r="D379" s="10"/>
      <c r="E379" s="9" t="s">
        <v>1246</v>
      </c>
      <c r="F379" s="1">
        <v>1</v>
      </c>
      <c r="G379" s="1">
        <f t="shared" si="16"/>
        <v>29</v>
      </c>
      <c r="H379" s="1" t="str">
        <f t="shared" si="17"/>
        <v>insert into catInformation select 722,'Nacionalidad del Coacreditado',0,1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9">
        <v>723</v>
      </c>
      <c r="B380" s="9" t="s">
        <v>1247</v>
      </c>
      <c r="C380" s="9" t="s">
        <v>1248</v>
      </c>
      <c r="D380" s="10"/>
      <c r="E380" s="9" t="s">
        <v>1249</v>
      </c>
      <c r="F380" s="1">
        <v>1</v>
      </c>
      <c r="G380" s="1">
        <f t="shared" si="16"/>
        <v>33</v>
      </c>
      <c r="H380" s="1" t="str">
        <f t="shared" si="17"/>
        <v>insert into catInformation select 723,'Tipo de Relacion del Coacreditado',0,1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9">
        <v>724</v>
      </c>
      <c r="B381" s="9" t="s">
        <v>1250</v>
      </c>
      <c r="C381" s="9" t="s">
        <v>1251</v>
      </c>
      <c r="D381" s="10"/>
      <c r="E381" s="9" t="s">
        <v>1252</v>
      </c>
      <c r="F381" s="1">
        <v>1</v>
      </c>
      <c r="G381" s="1">
        <f t="shared" si="16"/>
        <v>32</v>
      </c>
      <c r="H381" s="1" t="str">
        <f t="shared" si="17"/>
        <v>insert into catInformation select 724,'Calle Domicilio del Coacreditado',0,1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9">
        <v>725</v>
      </c>
      <c r="B382" s="9" t="s">
        <v>1253</v>
      </c>
      <c r="C382" s="9" t="s">
        <v>1254</v>
      </c>
      <c r="D382" s="10"/>
      <c r="E382" s="9" t="s">
        <v>1255</v>
      </c>
      <c r="F382" s="1">
        <v>1</v>
      </c>
      <c r="G382" s="1">
        <f t="shared" si="16"/>
        <v>42</v>
      </c>
      <c r="H382" s="1" t="str">
        <f t="shared" si="17"/>
        <v>insert into catInformation select 725,'Numero Exterior Domicilio del Coacreditado',0,1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9">
        <v>726</v>
      </c>
      <c r="B383" s="9" t="s">
        <v>1256</v>
      </c>
      <c r="C383" s="9" t="s">
        <v>1257</v>
      </c>
      <c r="D383" s="10"/>
      <c r="E383" s="9" t="s">
        <v>1258</v>
      </c>
      <c r="F383" s="1">
        <v>1</v>
      </c>
      <c r="G383" s="1">
        <f t="shared" si="16"/>
        <v>42</v>
      </c>
      <c r="H383" s="1" t="str">
        <f t="shared" si="17"/>
        <v>insert into catInformation select 726,'Numero Interior Domicilio del Coacreditado',0,1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9">
        <v>727</v>
      </c>
      <c r="B384" s="9" t="s">
        <v>1259</v>
      </c>
      <c r="C384" s="9" t="s">
        <v>1260</v>
      </c>
      <c r="D384" s="10"/>
      <c r="E384" s="9" t="s">
        <v>1261</v>
      </c>
      <c r="F384" s="1">
        <v>1</v>
      </c>
      <c r="G384" s="1">
        <f t="shared" si="16"/>
        <v>42</v>
      </c>
      <c r="H384" s="1" t="str">
        <f t="shared" si="17"/>
        <v>insert into catInformation select 727,'Cruzamiento del domicilio del Coacreditado',0,1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9">
        <v>728</v>
      </c>
      <c r="B385" s="9" t="s">
        <v>1262</v>
      </c>
      <c r="C385" s="9" t="s">
        <v>1263</v>
      </c>
      <c r="D385" s="10"/>
      <c r="E385" s="9" t="s">
        <v>1264</v>
      </c>
      <c r="F385" s="1">
        <v>1</v>
      </c>
      <c r="G385" s="1">
        <f t="shared" si="16"/>
        <v>24</v>
      </c>
      <c r="H385" s="1" t="str">
        <f t="shared" si="17"/>
        <v>insert into catInformation select 728,'Colonia del Coacreditado',0,1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9">
        <v>729</v>
      </c>
      <c r="B386" s="9" t="s">
        <v>1265</v>
      </c>
      <c r="C386" s="9" t="s">
        <v>1266</v>
      </c>
      <c r="D386" s="10"/>
      <c r="E386" s="9" t="s">
        <v>1267</v>
      </c>
      <c r="F386" s="1">
        <v>1</v>
      </c>
      <c r="G386" s="1">
        <f t="shared" si="16"/>
        <v>26</v>
      </c>
      <c r="H386" s="1" t="str">
        <f t="shared" si="17"/>
        <v>insert into catInformation select 729,'Localidad del Coacreditado',0,1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9">
        <v>730</v>
      </c>
      <c r="B387" s="9" t="s">
        <v>1268</v>
      </c>
      <c r="C387" s="9" t="s">
        <v>1269</v>
      </c>
      <c r="D387" s="10"/>
      <c r="E387" s="9" t="s">
        <v>1270</v>
      </c>
      <c r="F387" s="1">
        <v>1</v>
      </c>
      <c r="G387" s="1">
        <f t="shared" si="16"/>
        <v>35</v>
      </c>
      <c r="H387" s="1" t="str">
        <f t="shared" si="17"/>
        <v>insert into catInformation select 730,'Municipio / Ciudad del Coacreditado',0,1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9">
        <v>731</v>
      </c>
      <c r="B388" s="9" t="s">
        <v>1271</v>
      </c>
      <c r="C388" s="18" t="s">
        <v>1272</v>
      </c>
      <c r="D388" s="10"/>
      <c r="E388" s="9" t="s">
        <v>1273</v>
      </c>
      <c r="F388" s="1">
        <v>1</v>
      </c>
      <c r="G388" s="1">
        <f t="shared" si="16"/>
        <v>30</v>
      </c>
      <c r="H388" s="1" t="str">
        <f t="shared" si="17"/>
        <v>insert into catInformation select 731,'Nombre del Representante Legal',0,1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9">
        <v>732</v>
      </c>
      <c r="B389" s="9" t="s">
        <v>1274</v>
      </c>
      <c r="C389" s="9" t="s">
        <v>1275</v>
      </c>
      <c r="D389" s="10"/>
      <c r="E389" s="9" t="s">
        <v>1276</v>
      </c>
      <c r="F389" s="1">
        <v>1</v>
      </c>
      <c r="G389" s="1">
        <f t="shared" si="16"/>
        <v>27</v>
      </c>
      <c r="H389" s="1" t="str">
        <f t="shared" si="17"/>
        <v>insert into catInformation select 732,'Nacionalidad del Rep. Legal',0,1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9">
        <v>733</v>
      </c>
      <c r="B390" s="9" t="s">
        <v>1277</v>
      </c>
      <c r="C390" s="9" t="s">
        <v>1278</v>
      </c>
      <c r="D390" s="10"/>
      <c r="E390" s="9" t="s">
        <v>1279</v>
      </c>
      <c r="F390" s="1">
        <v>1</v>
      </c>
      <c r="G390" s="1">
        <f t="shared" si="16"/>
        <v>31</v>
      </c>
      <c r="H390" s="1" t="str">
        <f t="shared" si="17"/>
        <v>insert into catInformation select 733,'Tipo de Relacion del Rep. Legal',0,1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9">
        <v>734</v>
      </c>
      <c r="B391" s="9" t="s">
        <v>1280</v>
      </c>
      <c r="C391" s="9" t="s">
        <v>1281</v>
      </c>
      <c r="D391" s="10"/>
      <c r="E391" s="9" t="s">
        <v>1282</v>
      </c>
      <c r="F391" s="1">
        <v>1</v>
      </c>
      <c r="G391" s="1">
        <f t="shared" si="16"/>
        <v>30</v>
      </c>
      <c r="H391" s="1" t="str">
        <f t="shared" si="17"/>
        <v>insert into catInformation select 734,'Calle Domicilio del Rep. Legal',0,1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9">
        <v>735</v>
      </c>
      <c r="B392" s="9" t="s">
        <v>1283</v>
      </c>
      <c r="C392" s="9" t="s">
        <v>1284</v>
      </c>
      <c r="D392" s="10"/>
      <c r="E392" s="9" t="s">
        <v>1285</v>
      </c>
      <c r="F392" s="1">
        <v>1</v>
      </c>
      <c r="G392" s="1">
        <f t="shared" si="16"/>
        <v>40</v>
      </c>
      <c r="H392" s="1" t="str">
        <f t="shared" si="17"/>
        <v>insert into catInformation select 735,'Numero Exterior Domicilio del Rep. Legal',0,1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9">
        <v>736</v>
      </c>
      <c r="B393" s="9" t="s">
        <v>1286</v>
      </c>
      <c r="C393" s="9" t="s">
        <v>1287</v>
      </c>
      <c r="D393" s="10"/>
      <c r="E393" s="9" t="s">
        <v>1288</v>
      </c>
      <c r="F393" s="1">
        <v>1</v>
      </c>
      <c r="G393" s="1">
        <f t="shared" si="16"/>
        <v>40</v>
      </c>
      <c r="H393" s="1" t="str">
        <f t="shared" si="17"/>
        <v>insert into catInformation select 736,'Numero Interior Domicilio del Rep. Legal',0,1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9">
        <v>737</v>
      </c>
      <c r="B394" s="9" t="s">
        <v>1289</v>
      </c>
      <c r="C394" s="9" t="s">
        <v>1290</v>
      </c>
      <c r="D394" s="10"/>
      <c r="E394" s="9" t="s">
        <v>1291</v>
      </c>
      <c r="F394" s="1">
        <v>1</v>
      </c>
      <c r="G394" s="1">
        <f t="shared" si="16"/>
        <v>40</v>
      </c>
      <c r="H394" s="1" t="str">
        <f t="shared" si="17"/>
        <v>insert into catInformation select 737,'Cruzamiento del domicilio del Rep. Legal',0,1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9">
        <v>738</v>
      </c>
      <c r="B395" s="9" t="s">
        <v>1292</v>
      </c>
      <c r="C395" s="9" t="s">
        <v>1293</v>
      </c>
      <c r="D395" s="10"/>
      <c r="E395" s="9" t="s">
        <v>1294</v>
      </c>
      <c r="F395" s="1">
        <v>1</v>
      </c>
      <c r="G395" s="1">
        <f t="shared" si="16"/>
        <v>22</v>
      </c>
      <c r="H395" s="1" t="str">
        <f t="shared" si="17"/>
        <v>insert into catInformation select 738,'Colonia del Rep. Legal',0,1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9">
        <v>739</v>
      </c>
      <c r="B396" s="9" t="s">
        <v>1295</v>
      </c>
      <c r="C396" s="9" t="s">
        <v>1296</v>
      </c>
      <c r="D396" s="10"/>
      <c r="E396" s="9" t="s">
        <v>1297</v>
      </c>
      <c r="F396" s="1">
        <v>1</v>
      </c>
      <c r="G396" s="1">
        <f t="shared" si="16"/>
        <v>24</v>
      </c>
      <c r="H396" s="1" t="str">
        <f t="shared" si="17"/>
        <v>insert into catInformation select 739,'Localidad del Rep. Legal',0,1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9">
        <v>740</v>
      </c>
      <c r="B397" s="9" t="s">
        <v>1298</v>
      </c>
      <c r="C397" s="9" t="s">
        <v>1299</v>
      </c>
      <c r="D397" s="10"/>
      <c r="E397" s="9" t="s">
        <v>1300</v>
      </c>
      <c r="F397" s="1">
        <v>1</v>
      </c>
      <c r="G397" s="1">
        <f t="shared" si="16"/>
        <v>33</v>
      </c>
      <c r="H397" s="1" t="str">
        <f t="shared" si="17"/>
        <v>insert into catInformation select 740,'Municipio / Ciudad del Rep. Legal',0,1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9">
        <v>741</v>
      </c>
      <c r="B398" s="9" t="s">
        <v>1301</v>
      </c>
      <c r="C398" s="18" t="s">
        <v>1302</v>
      </c>
      <c r="D398" s="10"/>
      <c r="E398" s="9" t="s">
        <v>1303</v>
      </c>
      <c r="F398" s="1">
        <v>1</v>
      </c>
      <c r="G398" s="1">
        <f t="shared" si="16"/>
        <v>32</v>
      </c>
      <c r="H398" s="1" t="str">
        <f t="shared" si="17"/>
        <v>insert into catInformation select 741,'Nombre del Representante Legal 2',0,1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9">
        <v>742</v>
      </c>
      <c r="B399" s="9" t="s">
        <v>1304</v>
      </c>
      <c r="C399" s="9" t="s">
        <v>1305</v>
      </c>
      <c r="D399" s="10"/>
      <c r="E399" s="9" t="s">
        <v>1306</v>
      </c>
      <c r="F399" s="1">
        <v>1</v>
      </c>
      <c r="G399" s="1">
        <f t="shared" si="16"/>
        <v>29</v>
      </c>
      <c r="H399" s="1" t="str">
        <f t="shared" si="17"/>
        <v>insert into catInformation select 742,'Nacionalidad del Rep. Legal 2',0,1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9">
        <v>743</v>
      </c>
      <c r="B400" s="9" t="s">
        <v>1307</v>
      </c>
      <c r="C400" s="9" t="s">
        <v>1308</v>
      </c>
      <c r="D400" s="10"/>
      <c r="E400" s="9" t="s">
        <v>1309</v>
      </c>
      <c r="F400" s="1">
        <v>1</v>
      </c>
      <c r="G400" s="1">
        <f t="shared" si="16"/>
        <v>33</v>
      </c>
      <c r="H400" s="1" t="str">
        <f t="shared" si="17"/>
        <v>insert into catInformation select 743,'Tipo de Relacion del Rep. Legal 2',0,1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9">
        <v>744</v>
      </c>
      <c r="B401" s="9" t="s">
        <v>1310</v>
      </c>
      <c r="C401" s="9" t="s">
        <v>1311</v>
      </c>
      <c r="D401" s="10"/>
      <c r="E401" s="9" t="s">
        <v>1312</v>
      </c>
      <c r="F401" s="1">
        <v>1</v>
      </c>
      <c r="G401" s="1">
        <f t="shared" si="16"/>
        <v>32</v>
      </c>
      <c r="H401" s="1" t="str">
        <f t="shared" si="17"/>
        <v>insert into catInformation select 744,'Calle Domicilio del Rep. Legal 2',0,1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9">
        <v>745</v>
      </c>
      <c r="B402" s="9" t="s">
        <v>1313</v>
      </c>
      <c r="C402" s="9" t="s">
        <v>1314</v>
      </c>
      <c r="D402" s="10"/>
      <c r="E402" s="9" t="s">
        <v>1315</v>
      </c>
      <c r="F402" s="1">
        <v>1</v>
      </c>
      <c r="G402" s="1">
        <f t="shared" si="16"/>
        <v>42</v>
      </c>
      <c r="H402" s="1" t="str">
        <f t="shared" si="17"/>
        <v>insert into catInformation select 745,'Numero Exterior Domicilio del Rep. Legal 2',0,1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9">
        <v>746</v>
      </c>
      <c r="B403" s="9" t="s">
        <v>1316</v>
      </c>
      <c r="C403" s="9" t="s">
        <v>1317</v>
      </c>
      <c r="D403" s="10"/>
      <c r="E403" s="9" t="s">
        <v>1318</v>
      </c>
      <c r="F403" s="1">
        <v>1</v>
      </c>
      <c r="G403" s="1">
        <f t="shared" si="16"/>
        <v>42</v>
      </c>
      <c r="H403" s="1" t="str">
        <f t="shared" si="17"/>
        <v>insert into catInformation select 746,'Numero Interior Domicilio del Rep. Legal 2',0,1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9">
        <v>747</v>
      </c>
      <c r="B404" s="9" t="s">
        <v>1319</v>
      </c>
      <c r="C404" s="9" t="s">
        <v>1320</v>
      </c>
      <c r="D404" s="10"/>
      <c r="E404" s="9" t="s">
        <v>1321</v>
      </c>
      <c r="F404" s="1">
        <v>1</v>
      </c>
      <c r="G404" s="1">
        <f t="shared" si="16"/>
        <v>42</v>
      </c>
      <c r="H404" s="1" t="str">
        <f t="shared" si="17"/>
        <v>insert into catInformation select 747,'Cruzamiento del domicilio del Rep. Legal 2',0,1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9">
        <v>748</v>
      </c>
      <c r="B405" s="9" t="s">
        <v>1322</v>
      </c>
      <c r="C405" s="9" t="s">
        <v>1323</v>
      </c>
      <c r="D405" s="10"/>
      <c r="E405" s="9" t="s">
        <v>1324</v>
      </c>
      <c r="F405" s="1">
        <v>1</v>
      </c>
      <c r="G405" s="1">
        <f t="shared" si="16"/>
        <v>24</v>
      </c>
      <c r="H405" s="1" t="str">
        <f t="shared" si="17"/>
        <v>insert into catInformation select 748,'Colonia del Rep. Legal 2',0,1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9">
        <v>749</v>
      </c>
      <c r="B406" s="9" t="s">
        <v>1325</v>
      </c>
      <c r="C406" s="9" t="s">
        <v>1326</v>
      </c>
      <c r="D406" s="10"/>
      <c r="E406" s="9" t="s">
        <v>1327</v>
      </c>
      <c r="F406" s="1">
        <v>1</v>
      </c>
      <c r="G406" s="1">
        <f t="shared" si="16"/>
        <v>26</v>
      </c>
      <c r="H406" s="1" t="str">
        <f t="shared" si="17"/>
        <v>insert into catInformation select 749,'Localidad del Rep. Legal 2',0,1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9">
        <v>750</v>
      </c>
      <c r="B407" s="9" t="s">
        <v>1328</v>
      </c>
      <c r="C407" s="9" t="s">
        <v>1329</v>
      </c>
      <c r="D407" s="10"/>
      <c r="E407" s="9" t="s">
        <v>1330</v>
      </c>
      <c r="F407" s="1">
        <v>1</v>
      </c>
      <c r="G407" s="1">
        <f t="shared" si="16"/>
        <v>35</v>
      </c>
      <c r="H407" s="1" t="str">
        <f t="shared" si="17"/>
        <v>insert into catInformation select 750,'Municipio / Ciudad del Rep. Legal 2',0,1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9">
        <v>751</v>
      </c>
      <c r="B408" s="9" t="s">
        <v>1331</v>
      </c>
      <c r="C408" s="18" t="s">
        <v>1332</v>
      </c>
      <c r="D408" s="10"/>
      <c r="E408" s="9" t="s">
        <v>1333</v>
      </c>
      <c r="F408" s="1">
        <v>1</v>
      </c>
      <c r="G408" s="1">
        <f t="shared" si="16"/>
        <v>32</v>
      </c>
      <c r="H408" s="1" t="str">
        <f t="shared" si="17"/>
        <v>insert into catInformation select 751,'Nombre del Representante Legal 3',0,1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9">
        <v>752</v>
      </c>
      <c r="B409" s="9" t="s">
        <v>1334</v>
      </c>
      <c r="C409" s="9" t="s">
        <v>1335</v>
      </c>
      <c r="D409" s="10"/>
      <c r="E409" s="9" t="s">
        <v>1336</v>
      </c>
      <c r="F409" s="1">
        <v>1</v>
      </c>
      <c r="G409" s="1">
        <f t="shared" si="16"/>
        <v>29</v>
      </c>
      <c r="H409" s="1" t="str">
        <f t="shared" si="17"/>
        <v>insert into catInformation select 752,'Nacionalidad del Rep. Legal 3',0,1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9">
        <v>753</v>
      </c>
      <c r="B410" s="9" t="s">
        <v>1337</v>
      </c>
      <c r="C410" s="9" t="s">
        <v>1338</v>
      </c>
      <c r="D410" s="10"/>
      <c r="E410" s="9" t="s">
        <v>1339</v>
      </c>
      <c r="F410" s="1">
        <v>1</v>
      </c>
      <c r="G410" s="1">
        <f t="shared" si="16"/>
        <v>33</v>
      </c>
      <c r="H410" s="1" t="str">
        <f t="shared" si="17"/>
        <v>insert into catInformation select 753,'Tipo de Relacion del Rep. Legal 3',0,1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9">
        <v>754</v>
      </c>
      <c r="B411" s="9" t="s">
        <v>1340</v>
      </c>
      <c r="C411" s="9" t="s">
        <v>1341</v>
      </c>
      <c r="D411" s="10"/>
      <c r="E411" s="9" t="s">
        <v>1342</v>
      </c>
      <c r="F411" s="1">
        <v>1</v>
      </c>
      <c r="G411" s="1">
        <f t="shared" si="16"/>
        <v>32</v>
      </c>
      <c r="H411" s="1" t="str">
        <f t="shared" si="17"/>
        <v>insert into catInformation select 754,'Calle Domicilio del Rep. Legal 3',0,1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9">
        <v>755</v>
      </c>
      <c r="B412" s="9" t="s">
        <v>1343</v>
      </c>
      <c r="C412" s="9" t="s">
        <v>1344</v>
      </c>
      <c r="D412" s="10"/>
      <c r="E412" s="9" t="s">
        <v>1345</v>
      </c>
      <c r="F412" s="1">
        <v>1</v>
      </c>
      <c r="G412" s="1">
        <f t="shared" si="16"/>
        <v>42</v>
      </c>
      <c r="H412" s="1" t="str">
        <f t="shared" si="17"/>
        <v>insert into catInformation select 755,'Numero Exterior Domicilio del Rep. Legal 3',0,1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9">
        <v>756</v>
      </c>
      <c r="B413" s="9" t="s">
        <v>1346</v>
      </c>
      <c r="C413" s="9" t="s">
        <v>1347</v>
      </c>
      <c r="D413" s="10"/>
      <c r="E413" s="9" t="s">
        <v>1348</v>
      </c>
      <c r="F413" s="1">
        <v>1</v>
      </c>
      <c r="G413" s="1">
        <f t="shared" si="16"/>
        <v>42</v>
      </c>
      <c r="H413" s="1" t="str">
        <f t="shared" si="17"/>
        <v>insert into catInformation select 756,'Numero Interior Domicilio del Rep. Legal 3',0,1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9">
        <v>757</v>
      </c>
      <c r="B414" s="9" t="s">
        <v>1349</v>
      </c>
      <c r="C414" s="9" t="s">
        <v>1350</v>
      </c>
      <c r="D414" s="10"/>
      <c r="E414" s="9" t="s">
        <v>1351</v>
      </c>
      <c r="F414" s="1">
        <v>1</v>
      </c>
      <c r="G414" s="1">
        <f t="shared" si="16"/>
        <v>42</v>
      </c>
      <c r="H414" s="1" t="str">
        <f t="shared" si="17"/>
        <v>insert into catInformation select 757,'Cruzamiento del domicilio del Rep. Legal 3',0,1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9">
        <v>758</v>
      </c>
      <c r="B415" s="9" t="s">
        <v>1352</v>
      </c>
      <c r="C415" s="9" t="s">
        <v>1353</v>
      </c>
      <c r="D415" s="10"/>
      <c r="E415" s="9" t="s">
        <v>1354</v>
      </c>
      <c r="F415" s="1">
        <v>1</v>
      </c>
      <c r="G415" s="1">
        <f t="shared" si="16"/>
        <v>24</v>
      </c>
      <c r="H415" s="1" t="str">
        <f t="shared" si="17"/>
        <v>insert into catInformation select 758,'Colonia del Rep. Legal 3',0,1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9">
        <v>759</v>
      </c>
      <c r="B416" s="9" t="s">
        <v>1355</v>
      </c>
      <c r="C416" s="9" t="s">
        <v>1356</v>
      </c>
      <c r="D416" s="10"/>
      <c r="E416" s="9" t="s">
        <v>1357</v>
      </c>
      <c r="F416" s="1">
        <v>1</v>
      </c>
      <c r="G416" s="1">
        <f t="shared" si="16"/>
        <v>26</v>
      </c>
      <c r="H416" s="1" t="str">
        <f t="shared" si="17"/>
        <v>insert into catInformation select 759,'Localidad del Rep. Legal 3',0,1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9">
        <v>760</v>
      </c>
      <c r="B417" s="9" t="s">
        <v>1358</v>
      </c>
      <c r="C417" s="9" t="s">
        <v>1359</v>
      </c>
      <c r="D417" s="10"/>
      <c r="E417" s="9" t="s">
        <v>1360</v>
      </c>
      <c r="F417" s="1">
        <v>1</v>
      </c>
      <c r="G417" s="1">
        <f t="shared" si="16"/>
        <v>35</v>
      </c>
      <c r="H417" s="1" t="str">
        <f t="shared" si="17"/>
        <v>insert into catInformation select 760,'Municipio / Ciudad del Rep. Legal 3',0,1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9">
        <v>761</v>
      </c>
      <c r="B418" s="9" t="s">
        <v>1361</v>
      </c>
      <c r="C418" s="18" t="s">
        <v>1362</v>
      </c>
      <c r="D418" s="10"/>
      <c r="E418" s="9" t="s">
        <v>1363</v>
      </c>
      <c r="F418" s="1">
        <v>1</v>
      </c>
      <c r="G418" s="1">
        <f t="shared" si="16"/>
        <v>18</v>
      </c>
      <c r="H418" s="1" t="str">
        <f t="shared" si="17"/>
        <v>insert into catInformation select 761,'Nombre del Garante',0,1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9">
        <v>762</v>
      </c>
      <c r="B419" s="9" t="s">
        <v>1364</v>
      </c>
      <c r="C419" s="9" t="s">
        <v>1365</v>
      </c>
      <c r="D419" s="10"/>
      <c r="E419" s="9" t="s">
        <v>1366</v>
      </c>
      <c r="F419" s="1">
        <v>1</v>
      </c>
      <c r="G419" s="1">
        <f t="shared" si="16"/>
        <v>24</v>
      </c>
      <c r="H419" s="1" t="str">
        <f t="shared" si="17"/>
        <v>insert into catInformation select 762,'Nacionalidad del Garante',0,1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9">
        <v>763</v>
      </c>
      <c r="B420" s="9" t="s">
        <v>1367</v>
      </c>
      <c r="C420" s="9" t="s">
        <v>1368</v>
      </c>
      <c r="D420" s="10"/>
      <c r="E420" s="9" t="s">
        <v>1369</v>
      </c>
      <c r="F420" s="1">
        <v>1</v>
      </c>
      <c r="G420" s="1">
        <f t="shared" si="16"/>
        <v>28</v>
      </c>
      <c r="H420" s="1" t="str">
        <f t="shared" si="17"/>
        <v>insert into catInformation select 763,'Tipo de Relacion del Garante',0,1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9">
        <v>764</v>
      </c>
      <c r="B421" s="9" t="s">
        <v>1370</v>
      </c>
      <c r="C421" s="9" t="s">
        <v>1371</v>
      </c>
      <c r="D421" s="10"/>
      <c r="E421" s="9" t="s">
        <v>1372</v>
      </c>
      <c r="F421" s="1">
        <v>1</v>
      </c>
      <c r="G421" s="1">
        <f t="shared" si="16"/>
        <v>27</v>
      </c>
      <c r="H421" s="1" t="str">
        <f t="shared" si="17"/>
        <v>insert into catInformation select 764,'Calle Domicilio del Garante',0,1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9">
        <v>765</v>
      </c>
      <c r="B422" s="9" t="s">
        <v>1373</v>
      </c>
      <c r="C422" s="9" t="s">
        <v>1374</v>
      </c>
      <c r="D422" s="10"/>
      <c r="E422" s="9" t="s">
        <v>1375</v>
      </c>
      <c r="F422" s="1">
        <v>1</v>
      </c>
      <c r="G422" s="1">
        <f t="shared" si="16"/>
        <v>37</v>
      </c>
      <c r="H422" s="1" t="str">
        <f t="shared" si="17"/>
        <v>insert into catInformation select 765,'Numero Exterior Domicilio del Garante',0,1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9">
        <v>766</v>
      </c>
      <c r="B423" s="9" t="s">
        <v>1376</v>
      </c>
      <c r="C423" s="9" t="s">
        <v>1377</v>
      </c>
      <c r="D423" s="10"/>
      <c r="E423" s="9" t="s">
        <v>1378</v>
      </c>
      <c r="F423" s="1">
        <v>1</v>
      </c>
      <c r="G423" s="1">
        <f t="shared" si="16"/>
        <v>37</v>
      </c>
      <c r="H423" s="1" t="str">
        <f t="shared" si="17"/>
        <v>insert into catInformation select 766,'Numero Interior Domicilio del Garante',0,1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9">
        <v>767</v>
      </c>
      <c r="B424" s="9" t="s">
        <v>1379</v>
      </c>
      <c r="C424" s="9" t="s">
        <v>1380</v>
      </c>
      <c r="D424" s="10"/>
      <c r="E424" s="9" t="s">
        <v>1381</v>
      </c>
      <c r="F424" s="1">
        <v>1</v>
      </c>
      <c r="G424" s="1">
        <f t="shared" si="16"/>
        <v>37</v>
      </c>
      <c r="H424" s="1" t="str">
        <f t="shared" si="17"/>
        <v>insert into catInformation select 767,'Cruzamiento del domicilio del Garante',0,1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9">
        <v>768</v>
      </c>
      <c r="B425" s="9" t="s">
        <v>1382</v>
      </c>
      <c r="C425" s="9" t="s">
        <v>1383</v>
      </c>
      <c r="D425" s="10"/>
      <c r="E425" s="9" t="s">
        <v>1384</v>
      </c>
      <c r="F425" s="1">
        <v>1</v>
      </c>
      <c r="G425" s="1">
        <f t="shared" si="16"/>
        <v>19</v>
      </c>
      <c r="H425" s="1" t="str">
        <f t="shared" si="17"/>
        <v>insert into catInformation select 768,'Colonia del Garante',0,1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9">
        <v>769</v>
      </c>
      <c r="B426" s="9" t="s">
        <v>1385</v>
      </c>
      <c r="C426" s="9" t="s">
        <v>1386</v>
      </c>
      <c r="D426" s="10"/>
      <c r="E426" s="9" t="s">
        <v>1387</v>
      </c>
      <c r="F426" s="1">
        <v>1</v>
      </c>
      <c r="G426" s="1">
        <f t="shared" si="16"/>
        <v>21</v>
      </c>
      <c r="H426" s="1" t="str">
        <f t="shared" si="17"/>
        <v>insert into catInformation select 769,'Localidad del Garante',0,1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9">
        <v>770</v>
      </c>
      <c r="B427" s="9" t="s">
        <v>1388</v>
      </c>
      <c r="C427" s="9" t="s">
        <v>1389</v>
      </c>
      <c r="D427" s="10"/>
      <c r="E427" s="9" t="s">
        <v>1390</v>
      </c>
      <c r="F427" s="1">
        <v>1</v>
      </c>
      <c r="G427" s="1">
        <f t="shared" si="16"/>
        <v>30</v>
      </c>
      <c r="H427" s="1" t="str">
        <f t="shared" si="17"/>
        <v>insert into catInformation select 770,'Municipio / Ciudad del Garante',0,1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9">
        <v>771</v>
      </c>
      <c r="B428" s="9" t="s">
        <v>1391</v>
      </c>
      <c r="C428" s="18" t="s">
        <v>1392</v>
      </c>
      <c r="D428" s="10"/>
      <c r="E428" s="9" t="s">
        <v>1393</v>
      </c>
      <c r="F428" s="1">
        <v>1</v>
      </c>
      <c r="G428" s="1">
        <f t="shared" si="16"/>
        <v>20</v>
      </c>
      <c r="H428" s="1" t="str">
        <f t="shared" si="17"/>
        <v>insert into catInformation select 771,'Nombre del Garante 2',0,1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9">
        <v>772</v>
      </c>
      <c r="B429" s="9" t="s">
        <v>1394</v>
      </c>
      <c r="C429" s="9" t="s">
        <v>1395</v>
      </c>
      <c r="D429" s="10"/>
      <c r="E429" s="9" t="s">
        <v>1396</v>
      </c>
      <c r="F429" s="1">
        <v>1</v>
      </c>
      <c r="G429" s="1">
        <f t="shared" si="16"/>
        <v>26</v>
      </c>
      <c r="H429" s="1" t="str">
        <f t="shared" si="17"/>
        <v>insert into catInformation select 772,'Nacionalidad del Garante 2',0,1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9">
        <v>773</v>
      </c>
      <c r="B430" s="9" t="s">
        <v>1397</v>
      </c>
      <c r="C430" s="9" t="s">
        <v>1398</v>
      </c>
      <c r="D430" s="10"/>
      <c r="E430" s="9" t="s">
        <v>1399</v>
      </c>
      <c r="F430" s="1">
        <v>1</v>
      </c>
      <c r="G430" s="1">
        <f t="shared" si="16"/>
        <v>30</v>
      </c>
      <c r="H430" s="1" t="str">
        <f t="shared" si="17"/>
        <v>insert into catInformation select 773,'Tipo de Relacion del Garante 2',0,1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9">
        <v>774</v>
      </c>
      <c r="B431" s="9" t="s">
        <v>1400</v>
      </c>
      <c r="C431" s="9" t="s">
        <v>1401</v>
      </c>
      <c r="D431" s="10"/>
      <c r="E431" s="9" t="s">
        <v>1402</v>
      </c>
      <c r="F431" s="1">
        <v>1</v>
      </c>
      <c r="G431" s="1">
        <f t="shared" si="16"/>
        <v>29</v>
      </c>
      <c r="H431" s="1" t="str">
        <f t="shared" si="17"/>
        <v>insert into catInformation select 774,'Calle Domicilio del Garante 2',0,1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9">
        <v>775</v>
      </c>
      <c r="B432" s="9" t="s">
        <v>1403</v>
      </c>
      <c r="C432" s="9" t="s">
        <v>1404</v>
      </c>
      <c r="D432" s="10"/>
      <c r="E432" s="9" t="s">
        <v>1405</v>
      </c>
      <c r="F432" s="1">
        <v>1</v>
      </c>
      <c r="G432" s="1">
        <f t="shared" si="16"/>
        <v>39</v>
      </c>
      <c r="H432" s="1" t="str">
        <f t="shared" si="17"/>
        <v>insert into catInformation select 775,'Numero Exterior Domicilio del Garante 2',0,1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9">
        <v>776</v>
      </c>
      <c r="B433" s="9" t="s">
        <v>1406</v>
      </c>
      <c r="C433" s="9" t="s">
        <v>1407</v>
      </c>
      <c r="D433" s="10"/>
      <c r="E433" s="9" t="s">
        <v>1408</v>
      </c>
      <c r="F433" s="1">
        <v>1</v>
      </c>
      <c r="G433" s="1">
        <f t="shared" si="16"/>
        <v>39</v>
      </c>
      <c r="H433" s="1" t="str">
        <f t="shared" si="17"/>
        <v>insert into catInformation select 776,'Numero Interior Domicilio del Garante 2',0,1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9">
        <v>777</v>
      </c>
      <c r="B434" s="9" t="s">
        <v>1409</v>
      </c>
      <c r="C434" s="9" t="s">
        <v>1410</v>
      </c>
      <c r="D434" s="10"/>
      <c r="E434" s="9" t="s">
        <v>1411</v>
      </c>
      <c r="F434" s="1">
        <v>1</v>
      </c>
      <c r="G434" s="1">
        <f t="shared" si="16"/>
        <v>39</v>
      </c>
      <c r="H434" s="1" t="str">
        <f t="shared" si="17"/>
        <v>insert into catInformation select 777,'Cruzamiento del domicilio del Garante 2',0,1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9">
        <v>778</v>
      </c>
      <c r="B435" s="9" t="s">
        <v>1412</v>
      </c>
      <c r="C435" s="9" t="s">
        <v>1413</v>
      </c>
      <c r="D435" s="10"/>
      <c r="E435" s="9" t="s">
        <v>1414</v>
      </c>
      <c r="F435" s="1">
        <v>1</v>
      </c>
      <c r="G435" s="1">
        <f t="shared" si="16"/>
        <v>21</v>
      </c>
      <c r="H435" s="1" t="str">
        <f t="shared" si="17"/>
        <v>insert into catInformation select 778,'Colonia del Garante 2',0,1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9">
        <v>779</v>
      </c>
      <c r="B436" s="9" t="s">
        <v>1415</v>
      </c>
      <c r="C436" s="9" t="s">
        <v>1416</v>
      </c>
      <c r="D436" s="10"/>
      <c r="E436" s="9" t="s">
        <v>1417</v>
      </c>
      <c r="F436" s="1">
        <v>1</v>
      </c>
      <c r="G436" s="1">
        <f t="shared" si="16"/>
        <v>23</v>
      </c>
      <c r="H436" s="1" t="str">
        <f t="shared" si="17"/>
        <v>insert into catInformation select 779,'Localidad del Garante 2',0,1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9">
        <v>780</v>
      </c>
      <c r="B437" s="9" t="s">
        <v>1418</v>
      </c>
      <c r="C437" s="9" t="s">
        <v>1419</v>
      </c>
      <c r="D437" s="10"/>
      <c r="E437" s="9" t="s">
        <v>1420</v>
      </c>
      <c r="F437" s="1">
        <v>1</v>
      </c>
      <c r="G437" s="1">
        <f t="shared" si="16"/>
        <v>32</v>
      </c>
      <c r="H437" s="1" t="str">
        <f t="shared" si="17"/>
        <v>insert into catInformation select 780,'Municipio / Ciudad del Garante 2',0,1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9">
        <v>801</v>
      </c>
      <c r="B438" s="9" t="s">
        <v>1421</v>
      </c>
      <c r="C438" s="9" t="s">
        <v>1422</v>
      </c>
      <c r="D438" s="10"/>
      <c r="E438" s="9" t="s">
        <v>1423</v>
      </c>
      <c r="F438" s="1">
        <v>1</v>
      </c>
      <c r="G438" s="1">
        <f t="shared" si="16"/>
        <v>49</v>
      </c>
      <c r="H438" s="1" t="str">
        <f t="shared" si="17"/>
        <v>insert into catInformation select 801,'Saldo Capital del crédito sin reestructura-numero',0,1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9">
        <v>802</v>
      </c>
      <c r="B439" s="9" t="s">
        <v>1424</v>
      </c>
      <c r="C439" s="9" t="s">
        <v>1425</v>
      </c>
      <c r="D439" s="10"/>
      <c r="E439" s="9" t="s">
        <v>1426</v>
      </c>
      <c r="F439" s="1">
        <v>1</v>
      </c>
      <c r="G439" s="1">
        <f t="shared" si="16"/>
        <v>50</v>
      </c>
      <c r="H439" s="1" t="str">
        <f t="shared" si="17"/>
        <v>insert into catInformation select 802,'Saldo Intereses de crédito sin reestructura-numero',0,1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9">
        <v>803</v>
      </c>
      <c r="B440" s="9" t="s">
        <v>1427</v>
      </c>
      <c r="C440" s="9" t="s">
        <v>1428</v>
      </c>
      <c r="D440" s="10"/>
      <c r="E440" s="9" t="s">
        <v>1429</v>
      </c>
      <c r="F440" s="1">
        <v>1</v>
      </c>
      <c r="G440" s="1">
        <f t="shared" si="16"/>
        <v>48</v>
      </c>
      <c r="H440" s="1" t="str">
        <f t="shared" si="17"/>
        <v>insert into catInformation select 803,'Saldo Moratorios crédito sin reestructura-numero',0,1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9">
        <v>804</v>
      </c>
      <c r="B441" s="9" t="s">
        <v>1430</v>
      </c>
      <c r="C441" s="9" t="s">
        <v>1431</v>
      </c>
      <c r="D441" s="10"/>
      <c r="E441" s="9" t="s">
        <v>1432</v>
      </c>
      <c r="F441" s="1">
        <v>1</v>
      </c>
      <c r="G441" s="1">
        <f t="shared" si="16"/>
        <v>50</v>
      </c>
      <c r="H441" s="1" t="str">
        <f t="shared" si="17"/>
        <v>insert into catInformation select 804,'Saldo Gastos Cobr. crédito sin reestructura-numero',0,1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9">
        <v>805</v>
      </c>
      <c r="B442" s="9" t="s">
        <v>1433</v>
      </c>
      <c r="C442" s="9" t="s">
        <v>1434</v>
      </c>
      <c r="D442" s="10"/>
      <c r="E442" s="9" t="s">
        <v>1435</v>
      </c>
      <c r="F442" s="1">
        <v>1</v>
      </c>
      <c r="G442" s="1">
        <f t="shared" si="16"/>
        <v>46</v>
      </c>
      <c r="H442" s="1" t="str">
        <f t="shared" si="17"/>
        <v>insert into catInformation select 805,'Saldo Total crédito sin reestructuras (numero)',0,1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9">
        <v>806</v>
      </c>
      <c r="B443" s="9" t="s">
        <v>1436</v>
      </c>
      <c r="C443" s="9" t="s">
        <v>1437</v>
      </c>
      <c r="D443" s="10"/>
      <c r="E443" s="9" t="s">
        <v>1438</v>
      </c>
      <c r="F443" s="1">
        <v>1</v>
      </c>
      <c r="G443" s="1">
        <f t="shared" si="16"/>
        <v>46</v>
      </c>
      <c r="H443" s="1" t="str">
        <f t="shared" si="17"/>
        <v>insert into catInformation select 806,'Saldo Total crédito sin reestructuras (Letras)',0,1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9">
        <v>807</v>
      </c>
      <c r="B444" s="9" t="s">
        <v>1439</v>
      </c>
      <c r="C444" s="9" t="s">
        <v>1440</v>
      </c>
      <c r="D444" s="10"/>
      <c r="E444" s="9" t="s">
        <v>300</v>
      </c>
      <c r="F444" s="1">
        <v>1</v>
      </c>
      <c r="G444" s="1">
        <f t="shared" si="16"/>
        <v>47</v>
      </c>
      <c r="H444" s="1" t="str">
        <f t="shared" si="17"/>
        <v>insert into catInformation select 807,'Valor de Quita o condonacion negociada (numero)',0,1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9">
        <v>808</v>
      </c>
      <c r="B445" s="9" t="s">
        <v>1441</v>
      </c>
      <c r="C445" s="9" t="s">
        <v>1442</v>
      </c>
      <c r="D445" s="10"/>
      <c r="E445" s="9" t="s">
        <v>301</v>
      </c>
      <c r="F445" s="1">
        <v>1</v>
      </c>
      <c r="G445" s="1">
        <f t="shared" si="16"/>
        <v>47</v>
      </c>
      <c r="H445" s="1" t="str">
        <f t="shared" si="17"/>
        <v>insert into catInformation select 808,'Valor de Quita o condonacion negociada (Letras)',0,1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9"/>
      <c r="B446" s="9"/>
      <c r="C446" s="9"/>
      <c r="D446" s="10"/>
      <c r="E446" s="9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35">
        <v>850</v>
      </c>
      <c r="B447" s="9" t="s">
        <v>1443</v>
      </c>
      <c r="C447" s="9" t="s">
        <v>1444</v>
      </c>
      <c r="D447" s="10"/>
      <c r="E447" s="9" t="s">
        <v>1445</v>
      </c>
      <c r="F447" s="1">
        <v>2</v>
      </c>
      <c r="G447" s="1">
        <f t="shared" ref="G447:G467" si="18">LEN(C447)</f>
        <v>38</v>
      </c>
      <c r="H447" s="1" t="str">
        <f t="shared" ref="H447:H467" si="19">CONCATENATE("insert into catInformation select ",A447,",'",C447,"',0,",F447)</f>
        <v>insert into catInformation select 850,'Suma de Saldo de los Creditos Unificar',0,2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35">
        <v>851</v>
      </c>
      <c r="B448" s="9" t="s">
        <v>1446</v>
      </c>
      <c r="C448" s="9" t="s">
        <v>1447</v>
      </c>
      <c r="D448" s="10"/>
      <c r="E448" s="9" t="s">
        <v>1448</v>
      </c>
      <c r="F448" s="1">
        <v>1</v>
      </c>
      <c r="G448" s="1">
        <f t="shared" si="18"/>
        <v>30</v>
      </c>
      <c r="H448" s="1" t="str">
        <f t="shared" si="19"/>
        <v>insert into catInformation select 851,'Numero de Credito 1 a Unificar',0,1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35">
        <v>852</v>
      </c>
      <c r="B449" s="9" t="s">
        <v>1449</v>
      </c>
      <c r="C449" s="9" t="s">
        <v>1450</v>
      </c>
      <c r="D449" s="10"/>
      <c r="E449" s="9" t="s">
        <v>1451</v>
      </c>
      <c r="F449" s="1">
        <v>1</v>
      </c>
      <c r="G449" s="1">
        <f t="shared" si="18"/>
        <v>50</v>
      </c>
      <c r="H449" s="1" t="str">
        <f t="shared" si="19"/>
        <v>insert into catInformation select 852,'Numero de contrato (Referencia) credito 1 Unificar',0,1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35">
        <v>853</v>
      </c>
      <c r="B450" s="9" t="s">
        <v>1452</v>
      </c>
      <c r="C450" s="9" t="s">
        <v>1453</v>
      </c>
      <c r="D450" s="10"/>
      <c r="E450" s="9" t="s">
        <v>1454</v>
      </c>
      <c r="F450" s="1">
        <v>1</v>
      </c>
      <c r="G450" s="1">
        <f t="shared" si="18"/>
        <v>50</v>
      </c>
      <c r="H450" s="1" t="str">
        <f t="shared" si="19"/>
        <v>insert into catInformation select 853,'Fecha de Calculo de Saldo del Credito 1 a unificar',0,1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35">
        <v>854</v>
      </c>
      <c r="B451" s="9" t="s">
        <v>1455</v>
      </c>
      <c r="C451" s="9" t="s">
        <v>1456</v>
      </c>
      <c r="D451" s="10"/>
      <c r="E451" s="9" t="s">
        <v>1457</v>
      </c>
      <c r="F451" s="1">
        <v>2</v>
      </c>
      <c r="G451" s="1">
        <f t="shared" si="18"/>
        <v>30</v>
      </c>
      <c r="H451" s="1" t="str">
        <f t="shared" si="19"/>
        <v>insert into catInformation select 854,'Valor del Credito 1 a Unificar',0,2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35">
        <v>855</v>
      </c>
      <c r="B452" s="9" t="s">
        <v>1458</v>
      </c>
      <c r="C452" s="9" t="s">
        <v>1459</v>
      </c>
      <c r="D452" s="10"/>
      <c r="E452" s="9" t="s">
        <v>1460</v>
      </c>
      <c r="F452" s="1">
        <v>2</v>
      </c>
      <c r="G452" s="1">
        <f t="shared" si="18"/>
        <v>30</v>
      </c>
      <c r="H452" s="1" t="str">
        <f t="shared" si="19"/>
        <v>insert into catInformation select 855,'Saldo del Credito 1 a Unificar',0,2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35">
        <v>856</v>
      </c>
      <c r="B453" s="9" t="s">
        <v>1461</v>
      </c>
      <c r="C453" s="9" t="s">
        <v>1462</v>
      </c>
      <c r="D453" s="10"/>
      <c r="E453" s="9" t="s">
        <v>1463</v>
      </c>
      <c r="F453" s="1">
        <v>1</v>
      </c>
      <c r="G453" s="1">
        <f t="shared" si="18"/>
        <v>28</v>
      </c>
      <c r="H453" s="1" t="str">
        <f t="shared" si="19"/>
        <v>insert into catInformation select 856,'Tipo de Credito 1 a Unificar',0,1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35">
        <v>857</v>
      </c>
      <c r="B454" s="9" t="s">
        <v>1464</v>
      </c>
      <c r="C454" s="9" t="s">
        <v>1465</v>
      </c>
      <c r="D454" s="10"/>
      <c r="E454" s="9" t="s">
        <v>1466</v>
      </c>
      <c r="F454" s="1">
        <v>1</v>
      </c>
      <c r="G454" s="1">
        <f t="shared" si="18"/>
        <v>46</v>
      </c>
      <c r="H454" s="1" t="str">
        <f t="shared" si="19"/>
        <v>insert into catInformation select 857,'Numero de Afiliacion  del Credito 1 a Unificar',0,1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35">
        <v>858</v>
      </c>
      <c r="B455" s="36" t="s">
        <v>1467</v>
      </c>
      <c r="C455" s="9" t="s">
        <v>1468</v>
      </c>
      <c r="D455" s="10"/>
      <c r="E455" s="9" t="s">
        <v>1469</v>
      </c>
      <c r="F455" s="1">
        <v>1</v>
      </c>
      <c r="G455" s="1">
        <f t="shared" si="18"/>
        <v>32</v>
      </c>
      <c r="H455" s="1" t="str">
        <f t="shared" si="19"/>
        <v>insert into catInformation select 858,'Monto letra crédito 1 a unificar',0,1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35">
        <v>859</v>
      </c>
      <c r="B456" s="36" t="s">
        <v>1470</v>
      </c>
      <c r="C456" s="9" t="s">
        <v>1471</v>
      </c>
      <c r="D456" s="10"/>
      <c r="E456" s="9" t="s">
        <v>1457</v>
      </c>
      <c r="F456" s="1">
        <v>2</v>
      </c>
      <c r="G456" s="1">
        <f t="shared" si="18"/>
        <v>33</v>
      </c>
      <c r="H456" s="1" t="str">
        <f t="shared" si="19"/>
        <v>insert into catInformation select 859,'Monto número crédito 1 a unificar',0,2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35">
        <v>860</v>
      </c>
      <c r="B457" s="36" t="s">
        <v>1472</v>
      </c>
      <c r="C457" s="9" t="s">
        <v>1473</v>
      </c>
      <c r="D457" s="10"/>
      <c r="E457" s="9" t="s">
        <v>1474</v>
      </c>
      <c r="F457" s="1">
        <v>2</v>
      </c>
      <c r="G457" s="1">
        <f t="shared" si="18"/>
        <v>26</v>
      </c>
      <c r="H457" s="1" t="str">
        <f t="shared" si="19"/>
        <v>insert into catInformation select 860,'Plazo crédito 1 a unificar',0,2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35">
        <v>861</v>
      </c>
      <c r="B458" s="9" t="s">
        <v>1475</v>
      </c>
      <c r="C458" s="9" t="s">
        <v>1476</v>
      </c>
      <c r="D458" s="10"/>
      <c r="E458" s="9" t="s">
        <v>1477</v>
      </c>
      <c r="F458" s="1">
        <v>1</v>
      </c>
      <c r="G458" s="1">
        <f t="shared" si="18"/>
        <v>30</v>
      </c>
      <c r="H458" s="1" t="str">
        <f t="shared" si="19"/>
        <v>insert into catInformation select 861,'Numero de Credito 2 a Unificar',0,1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35">
        <v>862</v>
      </c>
      <c r="B459" s="9" t="s">
        <v>1478</v>
      </c>
      <c r="C459" s="9" t="s">
        <v>1479</v>
      </c>
      <c r="D459" s="10"/>
      <c r="E459" s="9" t="s">
        <v>1480</v>
      </c>
      <c r="F459" s="1">
        <v>1</v>
      </c>
      <c r="G459" s="1">
        <f t="shared" si="18"/>
        <v>50</v>
      </c>
      <c r="H459" s="1" t="str">
        <f t="shared" si="19"/>
        <v>insert into catInformation select 862,'Numero de contrato (Referencia) credito 2 Unificar',0,1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35">
        <v>863</v>
      </c>
      <c r="B460" s="9" t="s">
        <v>1481</v>
      </c>
      <c r="C460" s="9" t="s">
        <v>1482</v>
      </c>
      <c r="D460" s="10"/>
      <c r="E460" s="9" t="s">
        <v>1483</v>
      </c>
      <c r="F460" s="1">
        <v>1</v>
      </c>
      <c r="G460" s="1">
        <f t="shared" si="18"/>
        <v>50</v>
      </c>
      <c r="H460" s="1" t="str">
        <f t="shared" si="19"/>
        <v>insert into catInformation select 863,'Fecha de Calculo de Saldo del Credito 2 a unificar',0,1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35">
        <v>864</v>
      </c>
      <c r="B461" s="9" t="s">
        <v>1484</v>
      </c>
      <c r="C461" s="9" t="s">
        <v>1485</v>
      </c>
      <c r="D461" s="10"/>
      <c r="E461" s="9" t="s">
        <v>1486</v>
      </c>
      <c r="F461" s="1">
        <v>2</v>
      </c>
      <c r="G461" s="1">
        <f t="shared" si="18"/>
        <v>38</v>
      </c>
      <c r="H461" s="1" t="str">
        <f t="shared" si="19"/>
        <v>insert into catInformation select 864,'Valor Inicial del Credito 2 a Unificar',0,2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35">
        <v>865</v>
      </c>
      <c r="B462" s="9" t="s">
        <v>1487</v>
      </c>
      <c r="C462" s="9" t="s">
        <v>1488</v>
      </c>
      <c r="D462" s="10"/>
      <c r="E462" s="9" t="s">
        <v>1489</v>
      </c>
      <c r="F462" s="1">
        <v>2</v>
      </c>
      <c r="G462" s="1">
        <f t="shared" si="18"/>
        <v>30</v>
      </c>
      <c r="H462" s="1" t="str">
        <f t="shared" si="19"/>
        <v>insert into catInformation select 865,'Saldo del Credito 2 a Unificar',0,2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35">
        <v>866</v>
      </c>
      <c r="B463" s="9" t="s">
        <v>1490</v>
      </c>
      <c r="C463" s="9" t="s">
        <v>1491</v>
      </c>
      <c r="D463" s="10"/>
      <c r="E463" s="9" t="s">
        <v>1492</v>
      </c>
      <c r="F463" s="1">
        <v>1</v>
      </c>
      <c r="G463" s="1">
        <f t="shared" si="18"/>
        <v>28</v>
      </c>
      <c r="H463" s="1" t="str">
        <f t="shared" si="19"/>
        <v>insert into catInformation select 866,'Tipo de Credito 2 a Unificar',0,1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35">
        <v>867</v>
      </c>
      <c r="B464" s="9" t="s">
        <v>1493</v>
      </c>
      <c r="C464" s="9" t="s">
        <v>1494</v>
      </c>
      <c r="D464" s="10"/>
      <c r="E464" s="9" t="s">
        <v>1495</v>
      </c>
      <c r="F464" s="1">
        <v>1</v>
      </c>
      <c r="G464" s="1">
        <f t="shared" si="18"/>
        <v>46</v>
      </c>
      <c r="H464" s="1" t="str">
        <f t="shared" si="19"/>
        <v>insert into catInformation select 867,'Numero de Afiliacion  del Credito 2 a Unificar',0,1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35">
        <v>868</v>
      </c>
      <c r="B465" s="36" t="s">
        <v>1496</v>
      </c>
      <c r="C465" s="9" t="s">
        <v>1497</v>
      </c>
      <c r="D465" s="10"/>
      <c r="E465" s="9" t="s">
        <v>1498</v>
      </c>
      <c r="F465" s="1">
        <v>1</v>
      </c>
      <c r="G465" s="1">
        <f t="shared" si="18"/>
        <v>32</v>
      </c>
      <c r="H465" s="1" t="str">
        <f t="shared" si="19"/>
        <v>insert into catInformation select 868,'Monto letra crédito 2 a unificar',0,1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35">
        <v>869</v>
      </c>
      <c r="B466" s="36" t="s">
        <v>1499</v>
      </c>
      <c r="C466" s="9" t="s">
        <v>1500</v>
      </c>
      <c r="D466" s="10"/>
      <c r="E466" s="9" t="s">
        <v>1501</v>
      </c>
      <c r="F466" s="1">
        <v>2</v>
      </c>
      <c r="G466" s="1">
        <f t="shared" si="18"/>
        <v>33</v>
      </c>
      <c r="H466" s="1" t="str">
        <f t="shared" si="19"/>
        <v>insert into catInformation select 869,'Monto número crédito 2 a unificar',0,2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35">
        <v>870</v>
      </c>
      <c r="B467" s="36" t="s">
        <v>1502</v>
      </c>
      <c r="C467" s="9" t="s">
        <v>1503</v>
      </c>
      <c r="D467" s="10"/>
      <c r="E467" s="9" t="s">
        <v>1504</v>
      </c>
      <c r="F467" s="1">
        <v>2</v>
      </c>
      <c r="G467" s="1">
        <f t="shared" si="18"/>
        <v>26</v>
      </c>
      <c r="H467" s="1" t="str">
        <f t="shared" si="19"/>
        <v>insert into catInformation select 870,'Plazo crédito 2 a unificar',0,2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35">
        <v>871</v>
      </c>
      <c r="B468" s="36"/>
      <c r="C468" s="9" t="s">
        <v>1505</v>
      </c>
      <c r="D468" s="10"/>
      <c r="E468" s="9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35">
        <v>872</v>
      </c>
      <c r="B469" s="36"/>
      <c r="C469" s="9" t="s">
        <v>1506</v>
      </c>
      <c r="D469" s="10"/>
      <c r="E469" s="9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35">
        <v>873</v>
      </c>
      <c r="B470" s="36"/>
      <c r="C470" s="9" t="s">
        <v>1507</v>
      </c>
      <c r="D470" s="10"/>
      <c r="E470" s="9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35">
        <v>874</v>
      </c>
      <c r="B471" s="36"/>
      <c r="C471" s="9" t="s">
        <v>1508</v>
      </c>
      <c r="D471" s="10"/>
      <c r="E471" s="9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35">
        <v>875</v>
      </c>
      <c r="B472" s="36"/>
      <c r="C472" s="9" t="s">
        <v>1509</v>
      </c>
      <c r="D472" s="10"/>
      <c r="E472" s="9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35">
        <v>876</v>
      </c>
      <c r="B473" s="36"/>
      <c r="C473" s="9" t="s">
        <v>1510</v>
      </c>
      <c r="D473" s="10"/>
      <c r="E473" s="9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35">
        <v>877</v>
      </c>
      <c r="B474" s="36"/>
      <c r="C474" s="9" t="s">
        <v>1511</v>
      </c>
      <c r="D474" s="10"/>
      <c r="E474" s="9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35">
        <v>878</v>
      </c>
      <c r="B475" s="36"/>
      <c r="C475" s="9" t="s">
        <v>1512</v>
      </c>
      <c r="D475" s="10"/>
      <c r="E475" s="9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35">
        <v>879</v>
      </c>
      <c r="B476" s="36"/>
      <c r="C476" s="9" t="s">
        <v>1513</v>
      </c>
      <c r="D476" s="10"/>
      <c r="E476" s="9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35">
        <v>880</v>
      </c>
      <c r="B477" s="36"/>
      <c r="C477" s="9" t="s">
        <v>1514</v>
      </c>
      <c r="D477" s="10"/>
      <c r="E477" s="9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35">
        <v>881</v>
      </c>
      <c r="B478" s="36"/>
      <c r="C478" s="9" t="s">
        <v>1515</v>
      </c>
      <c r="D478" s="10"/>
      <c r="E478" s="9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35">
        <v>882</v>
      </c>
      <c r="B479" s="36"/>
      <c r="C479" s="9" t="s">
        <v>1516</v>
      </c>
      <c r="D479" s="10"/>
      <c r="E479" s="9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35">
        <v>883</v>
      </c>
      <c r="B480" s="36"/>
      <c r="C480" s="9" t="s">
        <v>1517</v>
      </c>
      <c r="D480" s="10"/>
      <c r="E480" s="9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35">
        <v>884</v>
      </c>
      <c r="B481" s="36"/>
      <c r="C481" s="9" t="s">
        <v>1518</v>
      </c>
      <c r="D481" s="10"/>
      <c r="E481" s="9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35">
        <v>885</v>
      </c>
      <c r="B482" s="36"/>
      <c r="C482" s="9" t="s">
        <v>1519</v>
      </c>
      <c r="D482" s="10"/>
      <c r="E482" s="9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35">
        <v>886</v>
      </c>
      <c r="B483" s="36"/>
      <c r="C483" s="9" t="s">
        <v>1520</v>
      </c>
      <c r="D483" s="10"/>
      <c r="E483" s="9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35">
        <v>887</v>
      </c>
      <c r="B484" s="36"/>
      <c r="C484" s="9" t="s">
        <v>1521</v>
      </c>
      <c r="D484" s="10"/>
      <c r="E484" s="9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35">
        <v>888</v>
      </c>
      <c r="B485" s="36"/>
      <c r="C485" s="9" t="s">
        <v>1522</v>
      </c>
      <c r="D485" s="10"/>
      <c r="E485" s="9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35">
        <v>889</v>
      </c>
      <c r="B486" s="36"/>
      <c r="C486" s="9" t="s">
        <v>1523</v>
      </c>
      <c r="D486" s="10"/>
      <c r="E486" s="9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35">
        <v>890</v>
      </c>
      <c r="B487" s="36"/>
      <c r="C487" s="9" t="s">
        <v>1524</v>
      </c>
      <c r="D487" s="10"/>
      <c r="E487" s="9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35">
        <v>891</v>
      </c>
      <c r="B488" s="9" t="s">
        <v>1525</v>
      </c>
      <c r="C488" s="9" t="s">
        <v>1444</v>
      </c>
      <c r="D488" s="10"/>
      <c r="E488" s="9" t="s">
        <v>1445</v>
      </c>
      <c r="F488" s="1">
        <v>2</v>
      </c>
      <c r="G488" s="1">
        <f t="shared" ref="G488:G491" si="20">LEN(C488)</f>
        <v>38</v>
      </c>
      <c r="H488" s="1" t="str">
        <f t="shared" ref="H488:H491" si="21">CONCATENATE("insert into catInformation select ",A488,",'",C488,"',0,",F488)</f>
        <v>insert into catInformation select 891,'Suma de Saldo de los Creditos Unificar',0,2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37">
        <v>892</v>
      </c>
      <c r="B489" s="38" t="s">
        <v>1526</v>
      </c>
      <c r="C489" s="39" t="s">
        <v>1527</v>
      </c>
      <c r="D489" s="40"/>
      <c r="E489" s="9" t="s">
        <v>1528</v>
      </c>
      <c r="F489" s="1">
        <v>1</v>
      </c>
      <c r="G489" s="1">
        <f t="shared" si="20"/>
        <v>51</v>
      </c>
      <c r="H489" s="1" t="str">
        <f t="shared" si="21"/>
        <v>insert into catInformation select 892,'Monto letra total a liquidar de créditos a unificar',0,1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35">
        <v>893</v>
      </c>
      <c r="B490" s="36" t="s">
        <v>1529</v>
      </c>
      <c r="C490" s="9" t="s">
        <v>1530</v>
      </c>
      <c r="D490" s="10"/>
      <c r="E490" s="9" t="s">
        <v>1531</v>
      </c>
      <c r="F490" s="1">
        <v>2</v>
      </c>
      <c r="G490" s="1">
        <f t="shared" si="20"/>
        <v>52</v>
      </c>
      <c r="H490" s="1" t="str">
        <f t="shared" si="21"/>
        <v>insert into catInformation select 893,'Monto numero total a liquidar de créditos a unificar',0,2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35">
        <v>894</v>
      </c>
      <c r="B491" s="36" t="s">
        <v>1532</v>
      </c>
      <c r="C491" s="9" t="s">
        <v>1533</v>
      </c>
      <c r="D491" s="10"/>
      <c r="E491" s="9" t="s">
        <v>1534</v>
      </c>
      <c r="F491" s="1">
        <v>2</v>
      </c>
      <c r="G491" s="1">
        <f t="shared" si="20"/>
        <v>34</v>
      </c>
      <c r="H491" s="1" t="str">
        <f t="shared" si="21"/>
        <v>insert into catInformation select 894,'Saldo Final de créditos pago Deuda',0,2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9"/>
      <c r="B492" s="36"/>
      <c r="C492" s="9"/>
      <c r="D492" s="10"/>
      <c r="E492" s="9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9">
        <v>901</v>
      </c>
      <c r="B493" s="9" t="s">
        <v>1535</v>
      </c>
      <c r="C493" s="9" t="s">
        <v>1536</v>
      </c>
      <c r="D493" s="10"/>
      <c r="E493" s="9" t="s">
        <v>1537</v>
      </c>
      <c r="F493" s="1">
        <v>1</v>
      </c>
      <c r="G493" s="1">
        <f t="shared" ref="G493:G501" si="22">LEN(C493)</f>
        <v>35</v>
      </c>
      <c r="H493" s="1" t="str">
        <f t="shared" ref="H493:H501" si="23">CONCATENATE("insert into catInformation select ",A493,",'",C493,"',0,",F493)</f>
        <v>insert into catInformation select 901,'Numero de Escritura de Constitucion',0,1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9">
        <v>902</v>
      </c>
      <c r="B494" s="9" t="s">
        <v>1538</v>
      </c>
      <c r="C494" s="9" t="s">
        <v>1539</v>
      </c>
      <c r="D494" s="10"/>
      <c r="E494" s="9" t="s">
        <v>1540</v>
      </c>
      <c r="F494" s="1">
        <v>1</v>
      </c>
      <c r="G494" s="1">
        <f t="shared" si="22"/>
        <v>21</v>
      </c>
      <c r="H494" s="1" t="str">
        <f t="shared" si="23"/>
        <v>insert into catInformation select 902,'Fecha de Constitucion',0,1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9">
        <v>903</v>
      </c>
      <c r="B495" s="9" t="s">
        <v>1541</v>
      </c>
      <c r="C495" s="9" t="s">
        <v>1542</v>
      </c>
      <c r="D495" s="10"/>
      <c r="E495" s="9" t="s">
        <v>1543</v>
      </c>
      <c r="F495" s="1">
        <v>1</v>
      </c>
      <c r="G495" s="1">
        <f t="shared" si="22"/>
        <v>17</v>
      </c>
      <c r="H495" s="1" t="str">
        <f t="shared" si="23"/>
        <v>insert into catInformation select 903,'Fecha de Registro',0,1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9">
        <v>904</v>
      </c>
      <c r="B496" s="9" t="s">
        <v>1544</v>
      </c>
      <c r="C496" s="9" t="s">
        <v>1545</v>
      </c>
      <c r="D496" s="10"/>
      <c r="E496" s="9" t="s">
        <v>1546</v>
      </c>
      <c r="F496" s="1">
        <v>1</v>
      </c>
      <c r="G496" s="1">
        <f t="shared" si="22"/>
        <v>17</v>
      </c>
      <c r="H496" s="1" t="str">
        <f t="shared" si="23"/>
        <v>insert into catInformation select 904,'Numero de Notaria',0,1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9">
        <v>905</v>
      </c>
      <c r="B497" s="9" t="s">
        <v>1547</v>
      </c>
      <c r="C497" s="9" t="s">
        <v>1548</v>
      </c>
      <c r="D497" s="10"/>
      <c r="E497" s="9" t="s">
        <v>1549</v>
      </c>
      <c r="F497" s="1">
        <v>1</v>
      </c>
      <c r="G497" s="1">
        <f t="shared" si="22"/>
        <v>32</v>
      </c>
      <c r="H497" s="1" t="str">
        <f t="shared" si="23"/>
        <v>insert into catInformation select 905,'Municipio o Ciudad de la Notaria',0,1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9">
        <v>906</v>
      </c>
      <c r="B498" s="9" t="s">
        <v>1550</v>
      </c>
      <c r="C498" s="9" t="s">
        <v>1551</v>
      </c>
      <c r="D498" s="10"/>
      <c r="E498" s="9" t="s">
        <v>1552</v>
      </c>
      <c r="F498" s="1">
        <v>1</v>
      </c>
      <c r="G498" s="1">
        <f t="shared" si="22"/>
        <v>18</v>
      </c>
      <c r="H498" s="1" t="str">
        <f t="shared" si="23"/>
        <v>insert into catInformation select 906,'Nombre del Notario',0,1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9">
        <v>907</v>
      </c>
      <c r="B499" s="9" t="s">
        <v>1553</v>
      </c>
      <c r="C499" s="9" t="s">
        <v>1554</v>
      </c>
      <c r="D499" s="10"/>
      <c r="E499" s="9" t="s">
        <v>1555</v>
      </c>
      <c r="F499" s="1">
        <v>1</v>
      </c>
      <c r="G499" s="1">
        <f t="shared" si="22"/>
        <v>17</v>
      </c>
      <c r="H499" s="1" t="str">
        <f t="shared" si="23"/>
        <v>insert into catInformation select 907,'Folio Electronico',0,1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9">
        <v>908</v>
      </c>
      <c r="B500" s="9" t="s">
        <v>1556</v>
      </c>
      <c r="C500" s="9" t="s">
        <v>1557</v>
      </c>
      <c r="D500" s="10"/>
      <c r="E500" s="9" t="s">
        <v>1558</v>
      </c>
      <c r="F500" s="1">
        <v>2</v>
      </c>
      <c r="G500" s="1">
        <f t="shared" si="22"/>
        <v>28</v>
      </c>
      <c r="H500" s="1" t="str">
        <f t="shared" si="23"/>
        <v>insert into catInformation select 908,'Capital Social de la Empresa',0,2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9">
        <v>909</v>
      </c>
      <c r="B501" s="9" t="s">
        <v>1559</v>
      </c>
      <c r="C501" s="9" t="s">
        <v>1560</v>
      </c>
      <c r="D501" s="10"/>
      <c r="E501" s="9" t="s">
        <v>1561</v>
      </c>
      <c r="F501" s="1">
        <v>1</v>
      </c>
      <c r="G501" s="1">
        <f t="shared" si="22"/>
        <v>27</v>
      </c>
      <c r="H501" s="1" t="str">
        <f t="shared" si="23"/>
        <v>insert into catInformation select 909,'Objeto Social de la Empresa',0,1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9"/>
      <c r="B502" s="9"/>
      <c r="C502" s="9"/>
      <c r="D502" s="10"/>
      <c r="E502" s="9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9">
        <v>921</v>
      </c>
      <c r="B503" s="9" t="s">
        <v>1562</v>
      </c>
      <c r="C503" s="9" t="s">
        <v>1563</v>
      </c>
      <c r="D503" s="10"/>
      <c r="E503" s="9" t="s">
        <v>1564</v>
      </c>
      <c r="F503" s="1">
        <v>1</v>
      </c>
      <c r="G503" s="1">
        <f t="shared" ref="G503:G506" si="24">LEN(C503)</f>
        <v>31</v>
      </c>
      <c r="H503" s="1" t="str">
        <f t="shared" ref="H503:H506" si="25">CONCATENATE("insert into catInformation select ",A503,",'",C503,"',0,",F503)</f>
        <v>insert into catInformation select 921,'Nombre del Principal accionista',0,1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9">
        <v>922</v>
      </c>
      <c r="B504" s="9" t="s">
        <v>1565</v>
      </c>
      <c r="C504" s="9" t="s">
        <v>1566</v>
      </c>
      <c r="D504" s="10"/>
      <c r="E504" s="9" t="s">
        <v>1567</v>
      </c>
      <c r="F504" s="1">
        <v>1</v>
      </c>
      <c r="G504" s="1">
        <f t="shared" si="24"/>
        <v>24</v>
      </c>
      <c r="H504" s="1" t="str">
        <f t="shared" si="25"/>
        <v>insert into catInformation select 922,'RFC Principal accionista',0,1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9">
        <v>923</v>
      </c>
      <c r="B505" s="9" t="s">
        <v>1568</v>
      </c>
      <c r="C505" s="9" t="s">
        <v>1569</v>
      </c>
      <c r="D505" s="10"/>
      <c r="E505" s="9" t="s">
        <v>1570</v>
      </c>
      <c r="F505" s="1">
        <v>2</v>
      </c>
      <c r="G505" s="1">
        <f t="shared" si="24"/>
        <v>48</v>
      </c>
      <c r="H505" s="1" t="str">
        <f t="shared" si="25"/>
        <v>insert into catInformation select 923,'Porcentaje de participacion Principal Accionista',0,2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9">
        <v>924</v>
      </c>
      <c r="B506" s="9" t="s">
        <v>1571</v>
      </c>
      <c r="C506" s="9" t="s">
        <v>1572</v>
      </c>
      <c r="D506" s="10"/>
      <c r="E506" s="9" t="s">
        <v>1573</v>
      </c>
      <c r="F506" s="1">
        <v>1</v>
      </c>
      <c r="G506" s="1">
        <f t="shared" si="24"/>
        <v>31</v>
      </c>
      <c r="H506" s="1" t="str">
        <f t="shared" si="25"/>
        <v>insert into catInformation select 924,'Puesto del Principal Accionista',0,1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9">
        <v>925</v>
      </c>
      <c r="B507" s="9"/>
      <c r="C507" s="9"/>
      <c r="D507" s="10"/>
      <c r="E507" s="9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9">
        <v>926</v>
      </c>
      <c r="B508" s="9" t="s">
        <v>1574</v>
      </c>
      <c r="C508" s="9" t="s">
        <v>1575</v>
      </c>
      <c r="D508" s="10"/>
      <c r="E508" s="9" t="s">
        <v>1576</v>
      </c>
      <c r="F508" s="1">
        <v>1</v>
      </c>
      <c r="G508" s="1">
        <f t="shared" ref="G508:G511" si="26">LEN(C508)</f>
        <v>29</v>
      </c>
      <c r="H508" s="1" t="str">
        <f t="shared" ref="H508:H511" si="27">CONCATENATE("insert into catInformation select ",A508,",'",C508,"',0,",F508)</f>
        <v>insert into catInformation select 926,'Nombre del Segundo accionista',0,1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9">
        <v>927</v>
      </c>
      <c r="B509" s="9" t="s">
        <v>1577</v>
      </c>
      <c r="C509" s="9" t="s">
        <v>1578</v>
      </c>
      <c r="D509" s="10"/>
      <c r="E509" s="9" t="s">
        <v>1579</v>
      </c>
      <c r="F509" s="1">
        <v>1</v>
      </c>
      <c r="G509" s="1">
        <f t="shared" si="26"/>
        <v>22</v>
      </c>
      <c r="H509" s="1" t="str">
        <f t="shared" si="27"/>
        <v>insert into catInformation select 927,'RFC Segundo accionista',0,1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9">
        <v>928</v>
      </c>
      <c r="B510" s="9" t="s">
        <v>1580</v>
      </c>
      <c r="C510" s="9" t="s">
        <v>1581</v>
      </c>
      <c r="D510" s="10"/>
      <c r="E510" s="9" t="s">
        <v>1582</v>
      </c>
      <c r="F510" s="1">
        <v>2</v>
      </c>
      <c r="G510" s="1">
        <f t="shared" si="26"/>
        <v>46</v>
      </c>
      <c r="H510" s="1" t="str">
        <f t="shared" si="27"/>
        <v>insert into catInformation select 928,'Porcentaje de participacion Segundo accionista',0,2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9">
        <v>929</v>
      </c>
      <c r="B511" s="9" t="s">
        <v>1583</v>
      </c>
      <c r="C511" s="9" t="s">
        <v>1584</v>
      </c>
      <c r="D511" s="10"/>
      <c r="E511" s="9" t="s">
        <v>1585</v>
      </c>
      <c r="F511" s="1">
        <v>1</v>
      </c>
      <c r="G511" s="1">
        <f t="shared" si="26"/>
        <v>29</v>
      </c>
      <c r="H511" s="1" t="str">
        <f t="shared" si="27"/>
        <v>insert into catInformation select 929,'Puesto del Segundo accionista',0,1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9">
        <v>930</v>
      </c>
      <c r="B512" s="9"/>
      <c r="C512" s="9"/>
      <c r="D512" s="10"/>
      <c r="E512" s="9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9">
        <v>931</v>
      </c>
      <c r="B513" s="9" t="s">
        <v>1586</v>
      </c>
      <c r="C513" s="9" t="s">
        <v>1587</v>
      </c>
      <c r="D513" s="10"/>
      <c r="E513" s="9" t="s">
        <v>1588</v>
      </c>
      <c r="F513" s="1">
        <v>1</v>
      </c>
      <c r="G513" s="1">
        <f t="shared" ref="G513:G516" si="28">LEN(C513)</f>
        <v>28</v>
      </c>
      <c r="H513" s="1" t="str">
        <f t="shared" ref="H513:H516" si="29">CONCATENATE("insert into catInformation select ",A513,",'",C513,"',0,",F513)</f>
        <v>insert into catInformation select 931,'Nombre del Tercer accionista',0,1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9">
        <v>932</v>
      </c>
      <c r="B514" s="9" t="s">
        <v>1589</v>
      </c>
      <c r="C514" s="9" t="s">
        <v>1590</v>
      </c>
      <c r="D514" s="10"/>
      <c r="E514" s="9" t="s">
        <v>1591</v>
      </c>
      <c r="F514" s="1">
        <v>1</v>
      </c>
      <c r="G514" s="1">
        <f t="shared" si="28"/>
        <v>21</v>
      </c>
      <c r="H514" s="1" t="str">
        <f t="shared" si="29"/>
        <v>insert into catInformation select 932,'RFC Tercer accionista',0,1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9">
        <v>933</v>
      </c>
      <c r="B515" s="9" t="s">
        <v>1592</v>
      </c>
      <c r="C515" s="9" t="s">
        <v>1593</v>
      </c>
      <c r="D515" s="10"/>
      <c r="E515" s="9" t="s">
        <v>1594</v>
      </c>
      <c r="F515" s="1">
        <v>2</v>
      </c>
      <c r="G515" s="1">
        <f t="shared" si="28"/>
        <v>45</v>
      </c>
      <c r="H515" s="1" t="str">
        <f t="shared" si="29"/>
        <v>insert into catInformation select 933,'Porcentaje de participacion Tercer accionista',0,2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9">
        <v>934</v>
      </c>
      <c r="B516" s="9" t="s">
        <v>1595</v>
      </c>
      <c r="C516" s="9" t="s">
        <v>1596</v>
      </c>
      <c r="D516" s="10"/>
      <c r="E516" s="9" t="s">
        <v>1597</v>
      </c>
      <c r="F516" s="1">
        <v>1</v>
      </c>
      <c r="G516" s="1">
        <f t="shared" si="28"/>
        <v>28</v>
      </c>
      <c r="H516" s="1" t="str">
        <f t="shared" si="29"/>
        <v>insert into catInformation select 934,'Puesto del Tercer accionista',0,1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9">
        <v>935</v>
      </c>
      <c r="B517" s="9"/>
      <c r="C517" s="9"/>
      <c r="D517" s="10"/>
      <c r="E517" s="9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9">
        <v>936</v>
      </c>
      <c r="B518" s="9" t="s">
        <v>1598</v>
      </c>
      <c r="C518" s="9" t="s">
        <v>1599</v>
      </c>
      <c r="D518" s="10"/>
      <c r="E518" s="9" t="s">
        <v>1600</v>
      </c>
      <c r="F518" s="1">
        <v>1</v>
      </c>
      <c r="G518" s="1">
        <f t="shared" ref="G518:G521" si="30">LEN(C518)</f>
        <v>28</v>
      </c>
      <c r="H518" s="1" t="str">
        <f t="shared" ref="H518:H521" si="31">CONCATENATE("insert into catInformation select ",A518,",'",C518,"',0,",F518)</f>
        <v>insert into catInformation select 936,'Nombre del Cuarto accionista',0,1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9">
        <v>937</v>
      </c>
      <c r="B519" s="9" t="s">
        <v>1601</v>
      </c>
      <c r="C519" s="9" t="s">
        <v>1602</v>
      </c>
      <c r="D519" s="10"/>
      <c r="E519" s="9" t="s">
        <v>1603</v>
      </c>
      <c r="F519" s="1">
        <v>1</v>
      </c>
      <c r="G519" s="1">
        <f t="shared" si="30"/>
        <v>21</v>
      </c>
      <c r="H519" s="1" t="str">
        <f t="shared" si="31"/>
        <v>insert into catInformation select 937,'RFC Cuarto accionista',0,1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9">
        <v>938</v>
      </c>
      <c r="B520" s="9" t="s">
        <v>1604</v>
      </c>
      <c r="C520" s="9" t="s">
        <v>1605</v>
      </c>
      <c r="D520" s="10"/>
      <c r="E520" s="9" t="s">
        <v>1606</v>
      </c>
      <c r="F520" s="1">
        <v>2</v>
      </c>
      <c r="G520" s="1">
        <f t="shared" si="30"/>
        <v>45</v>
      </c>
      <c r="H520" s="1" t="str">
        <f t="shared" si="31"/>
        <v>insert into catInformation select 938,'Porcentaje de participacion Cuarto accionista',0,2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9">
        <v>939</v>
      </c>
      <c r="B521" s="9" t="s">
        <v>1607</v>
      </c>
      <c r="C521" s="9" t="s">
        <v>1608</v>
      </c>
      <c r="D521" s="10"/>
      <c r="E521" s="9" t="s">
        <v>1609</v>
      </c>
      <c r="F521" s="1">
        <v>1</v>
      </c>
      <c r="G521" s="1">
        <f t="shared" si="30"/>
        <v>28</v>
      </c>
      <c r="H521" s="1" t="str">
        <f t="shared" si="31"/>
        <v>insert into catInformation select 939,'Puesto del Cuarto accionista',0,1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9">
        <v>940</v>
      </c>
      <c r="B522" s="9"/>
      <c r="C522" s="9"/>
      <c r="D522" s="10"/>
      <c r="E522" s="9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9">
        <v>941</v>
      </c>
      <c r="B523" s="9"/>
      <c r="C523" s="9" t="s">
        <v>1610</v>
      </c>
      <c r="D523" s="10"/>
      <c r="E523" s="9" t="s">
        <v>1611</v>
      </c>
      <c r="F523" s="1">
        <v>1</v>
      </c>
      <c r="G523" s="1">
        <f t="shared" ref="G523:G527" si="32">LEN(C523)</f>
        <v>28</v>
      </c>
      <c r="H523" s="1" t="str">
        <f t="shared" ref="H523:H538" si="33">CONCATENATE("insert into catInformation select ",A523,",'",C523,"',0,",F523)</f>
        <v>insert into catInformation select 941,'Nombre del Apoderado Legal 1',0,1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9">
        <v>942</v>
      </c>
      <c r="B524" s="9"/>
      <c r="C524" s="9" t="s">
        <v>1612</v>
      </c>
      <c r="D524" s="10"/>
      <c r="E524" s="9" t="s">
        <v>1613</v>
      </c>
      <c r="F524" s="1">
        <v>1</v>
      </c>
      <c r="G524" s="1">
        <f t="shared" si="32"/>
        <v>25</v>
      </c>
      <c r="H524" s="1" t="str">
        <f t="shared" si="33"/>
        <v>insert into catInformation select 942,'RFC del Apoderado Legal 1',0,1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9">
        <v>943</v>
      </c>
      <c r="B525" s="9"/>
      <c r="C525" s="9" t="s">
        <v>1614</v>
      </c>
      <c r="D525" s="10"/>
      <c r="E525" s="9" t="s">
        <v>1615</v>
      </c>
      <c r="F525" s="1">
        <v>1</v>
      </c>
      <c r="G525" s="1">
        <f t="shared" si="32"/>
        <v>34</v>
      </c>
      <c r="H525" s="1" t="str">
        <f t="shared" si="33"/>
        <v>insert into catInformation select 943,'Fecha Nacimiento Apoderado Legal 1',0,1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9">
        <v>944</v>
      </c>
      <c r="B526" s="9"/>
      <c r="C526" s="9" t="s">
        <v>1616</v>
      </c>
      <c r="D526" s="10"/>
      <c r="E526" s="9" t="s">
        <v>1617</v>
      </c>
      <c r="F526" s="1">
        <v>1</v>
      </c>
      <c r="G526" s="1">
        <f t="shared" si="32"/>
        <v>26</v>
      </c>
      <c r="H526" s="1" t="str">
        <f t="shared" si="33"/>
        <v>insert into catInformation select 944,'Edad del Apoderado Legal 1',0,1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9">
        <v>945</v>
      </c>
      <c r="B527" s="9"/>
      <c r="C527" s="9" t="s">
        <v>1618</v>
      </c>
      <c r="D527" s="10"/>
      <c r="E527" s="9" t="s">
        <v>1619</v>
      </c>
      <c r="F527" s="1">
        <v>1</v>
      </c>
      <c r="G527" s="1">
        <f t="shared" si="32"/>
        <v>30</v>
      </c>
      <c r="H527" s="1" t="str">
        <f t="shared" si="33"/>
        <v>insert into catInformation select 945,'Estado Civil Apoderado Legal 1',0,1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9">
        <v>946</v>
      </c>
      <c r="B528" s="9"/>
      <c r="C528" s="9" t="s">
        <v>1620</v>
      </c>
      <c r="D528" s="10"/>
      <c r="E528" s="9" t="s">
        <v>1621</v>
      </c>
      <c r="F528" s="1">
        <v>1</v>
      </c>
      <c r="G528" s="1">
        <f>LEN(C530)</f>
        <v>37</v>
      </c>
      <c r="H528" s="1" t="str">
        <f t="shared" si="33"/>
        <v>insert into catInformation select 946,'Nacionalidad del Apoderado Legal 1',0,1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9">
        <v>947</v>
      </c>
      <c r="B529" s="9"/>
      <c r="C529" s="9" t="s">
        <v>1622</v>
      </c>
      <c r="D529" s="10"/>
      <c r="E529" s="9" t="s">
        <v>1623</v>
      </c>
      <c r="F529" s="1">
        <v>1</v>
      </c>
      <c r="G529" s="1">
        <f t="shared" ref="G529:G538" si="34">LEN(C529)</f>
        <v>31</v>
      </c>
      <c r="H529" s="1" t="str">
        <f t="shared" si="33"/>
        <v>insert into catInformation select 947,'Ocupacion del Apoderado Legal 1',0,1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9">
        <v>948</v>
      </c>
      <c r="B530" s="9"/>
      <c r="C530" s="9" t="s">
        <v>1624</v>
      </c>
      <c r="D530" s="10"/>
      <c r="E530" s="9" t="s">
        <v>1625</v>
      </c>
      <c r="F530" s="1">
        <v>1</v>
      </c>
      <c r="G530" s="1">
        <f t="shared" si="34"/>
        <v>37</v>
      </c>
      <c r="H530" s="1" t="str">
        <f t="shared" si="33"/>
        <v>insert into catInformation select 948,'Calle Domicilio del Apoderado Legal 1',0,1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9">
        <v>949</v>
      </c>
      <c r="B531" s="9"/>
      <c r="C531" s="9" t="s">
        <v>1626</v>
      </c>
      <c r="D531" s="10"/>
      <c r="E531" s="9" t="s">
        <v>1627</v>
      </c>
      <c r="F531" s="1">
        <v>1</v>
      </c>
      <c r="G531" s="1">
        <f t="shared" si="34"/>
        <v>47</v>
      </c>
      <c r="H531" s="1" t="str">
        <f t="shared" si="33"/>
        <v>insert into catInformation select 949,'Numero Exterior Domicilio del Apoderado Legal 1',0,1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9">
        <v>950</v>
      </c>
      <c r="B532" s="9"/>
      <c r="C532" s="9" t="s">
        <v>1628</v>
      </c>
      <c r="D532" s="10"/>
      <c r="E532" s="9" t="s">
        <v>1629</v>
      </c>
      <c r="F532" s="1">
        <v>1</v>
      </c>
      <c r="G532" s="1">
        <f t="shared" si="34"/>
        <v>47</v>
      </c>
      <c r="H532" s="1" t="str">
        <f t="shared" si="33"/>
        <v>insert into catInformation select 950,'Numero Interior Domicilio del Apoderado Legal 1',0,1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9">
        <v>951</v>
      </c>
      <c r="B533" s="9"/>
      <c r="C533" s="9" t="s">
        <v>1630</v>
      </c>
      <c r="D533" s="10"/>
      <c r="E533" s="9" t="s">
        <v>1631</v>
      </c>
      <c r="F533" s="1">
        <v>1</v>
      </c>
      <c r="G533" s="1">
        <f t="shared" si="34"/>
        <v>44</v>
      </c>
      <c r="H533" s="1" t="str">
        <f t="shared" si="33"/>
        <v>insert into catInformation select 951,'Entre Calles Domicilio del Apoderado Legal 1',0,1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9">
        <v>952</v>
      </c>
      <c r="B534" s="9"/>
      <c r="C534" s="9" t="s">
        <v>1632</v>
      </c>
      <c r="D534" s="10"/>
      <c r="E534" s="9" t="s">
        <v>1633</v>
      </c>
      <c r="F534" s="1">
        <v>1</v>
      </c>
      <c r="G534" s="1">
        <f t="shared" si="34"/>
        <v>39</v>
      </c>
      <c r="H534" s="1" t="str">
        <f t="shared" si="33"/>
        <v>insert into catInformation select 952,'Colonia Domicilio del Apoderado Legal 1',0,1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9">
        <v>953</v>
      </c>
      <c r="B535" s="9"/>
      <c r="C535" s="9" t="s">
        <v>1634</v>
      </c>
      <c r="D535" s="10"/>
      <c r="E535" s="9" t="s">
        <v>1635</v>
      </c>
      <c r="F535" s="1">
        <v>1</v>
      </c>
      <c r="G535" s="1">
        <f t="shared" si="34"/>
        <v>41</v>
      </c>
      <c r="H535" s="1" t="str">
        <f t="shared" si="33"/>
        <v>insert into catInformation select 953,'Localidad Domicilio del Apoderado Legal 1',0,1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9">
        <v>954</v>
      </c>
      <c r="B536" s="9"/>
      <c r="C536" s="9" t="s">
        <v>1636</v>
      </c>
      <c r="D536" s="10"/>
      <c r="E536" s="9" t="s">
        <v>1637</v>
      </c>
      <c r="F536" s="1">
        <v>1</v>
      </c>
      <c r="G536" s="1">
        <f t="shared" si="34"/>
        <v>50</v>
      </c>
      <c r="H536" s="1" t="str">
        <f t="shared" si="33"/>
        <v>insert into catInformation select 954,'Municipio / Ciudad Domicilio del Apoderado Legal 1',0,1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9">
        <v>955</v>
      </c>
      <c r="B537" s="9"/>
      <c r="C537" s="9" t="s">
        <v>1638</v>
      </c>
      <c r="D537" s="10"/>
      <c r="E537" s="9" t="s">
        <v>1639</v>
      </c>
      <c r="F537" s="1">
        <v>1</v>
      </c>
      <c r="G537" s="1">
        <f t="shared" si="34"/>
        <v>38</v>
      </c>
      <c r="H537" s="1" t="str">
        <f t="shared" si="33"/>
        <v>insert into catInformation select 955,'Estado Domicilio del Apoderado Legal 1',0,1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9">
        <v>956</v>
      </c>
      <c r="B538" s="9"/>
      <c r="C538" s="9" t="s">
        <v>1640</v>
      </c>
      <c r="D538" s="10"/>
      <c r="E538" s="9" t="s">
        <v>1641</v>
      </c>
      <c r="F538" s="1">
        <v>1</v>
      </c>
      <c r="G538" s="1">
        <f t="shared" si="34"/>
        <v>45</v>
      </c>
      <c r="H538" s="1" t="str">
        <f t="shared" si="33"/>
        <v>insert into catInformation select 956,'Codigo Postal Domicilio del Apoderado Legal 1',0,1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9"/>
      <c r="B539" s="9"/>
      <c r="C539" s="9"/>
      <c r="D539" s="10"/>
      <c r="E539" s="9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9">
        <v>961</v>
      </c>
      <c r="B540" s="9"/>
      <c r="C540" s="9" t="s">
        <v>1642</v>
      </c>
      <c r="D540" s="10"/>
      <c r="E540" s="9" t="s">
        <v>1643</v>
      </c>
      <c r="F540" s="1">
        <v>1</v>
      </c>
      <c r="G540" s="1">
        <f t="shared" ref="G540:G544" si="35">LEN(C540)</f>
        <v>28</v>
      </c>
      <c r="H540" s="1" t="str">
        <f t="shared" ref="H540:H555" si="36">CONCATENATE("insert into catInformation select ",A540,",'",C540,"',0,",F540)</f>
        <v>insert into catInformation select 961,'Nombre del Apoderado Legal 2',0,1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9">
        <v>962</v>
      </c>
      <c r="B541" s="9"/>
      <c r="C541" s="9" t="s">
        <v>1644</v>
      </c>
      <c r="D541" s="10"/>
      <c r="E541" s="9" t="s">
        <v>1645</v>
      </c>
      <c r="F541" s="1">
        <v>1</v>
      </c>
      <c r="G541" s="1">
        <f t="shared" si="35"/>
        <v>25</v>
      </c>
      <c r="H541" s="1" t="str">
        <f t="shared" si="36"/>
        <v>insert into catInformation select 962,'RFC del Apoderado Legal 2',0,1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9">
        <v>963</v>
      </c>
      <c r="B542" s="9"/>
      <c r="C542" s="9" t="s">
        <v>1646</v>
      </c>
      <c r="D542" s="10"/>
      <c r="E542" s="9" t="s">
        <v>1647</v>
      </c>
      <c r="F542" s="1">
        <v>1</v>
      </c>
      <c r="G542" s="1">
        <f t="shared" si="35"/>
        <v>34</v>
      </c>
      <c r="H542" s="1" t="str">
        <f t="shared" si="36"/>
        <v>insert into catInformation select 963,'Fecha Nacimiento Apoderado Legal 2',0,1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9">
        <v>964</v>
      </c>
      <c r="B543" s="9"/>
      <c r="C543" s="9" t="s">
        <v>1648</v>
      </c>
      <c r="D543" s="10"/>
      <c r="E543" s="9" t="s">
        <v>1649</v>
      </c>
      <c r="F543" s="1">
        <v>1</v>
      </c>
      <c r="G543" s="1">
        <f t="shared" si="35"/>
        <v>26</v>
      </c>
      <c r="H543" s="1" t="str">
        <f t="shared" si="36"/>
        <v>insert into catInformation select 964,'Edad del Apoderado Legal 2',0,1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9">
        <v>965</v>
      </c>
      <c r="B544" s="9"/>
      <c r="C544" s="9" t="s">
        <v>1650</v>
      </c>
      <c r="D544" s="10"/>
      <c r="E544" s="9" t="s">
        <v>1651</v>
      </c>
      <c r="F544" s="1">
        <v>1</v>
      </c>
      <c r="G544" s="1">
        <f t="shared" si="35"/>
        <v>30</v>
      </c>
      <c r="H544" s="1" t="str">
        <f t="shared" si="36"/>
        <v>insert into catInformation select 965,'Estado Civil Apoderado Legal 2',0,1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9">
        <v>966</v>
      </c>
      <c r="B545" s="9"/>
      <c r="C545" s="9" t="s">
        <v>1652</v>
      </c>
      <c r="D545" s="10"/>
      <c r="E545" s="9" t="s">
        <v>1653</v>
      </c>
      <c r="F545" s="1">
        <v>1</v>
      </c>
      <c r="G545" s="1">
        <f>LEN(C547)</f>
        <v>37</v>
      </c>
      <c r="H545" s="1" t="str">
        <f t="shared" si="36"/>
        <v>insert into catInformation select 966,'Nacionalidad del Apoderado Legal 2',0,1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9">
        <v>967</v>
      </c>
      <c r="B546" s="9"/>
      <c r="C546" s="9" t="s">
        <v>1654</v>
      </c>
      <c r="D546" s="10"/>
      <c r="E546" s="9" t="s">
        <v>1655</v>
      </c>
      <c r="F546" s="1">
        <v>1</v>
      </c>
      <c r="G546" s="1">
        <f t="shared" ref="G546:G555" si="37">LEN(C546)</f>
        <v>31</v>
      </c>
      <c r="H546" s="1" t="str">
        <f t="shared" si="36"/>
        <v>insert into catInformation select 967,'Ocupacion del Apoderado Legal 2',0,1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9">
        <v>968</v>
      </c>
      <c r="B547" s="9"/>
      <c r="C547" s="9" t="s">
        <v>1656</v>
      </c>
      <c r="D547" s="10"/>
      <c r="E547" s="9" t="s">
        <v>1657</v>
      </c>
      <c r="F547" s="1">
        <v>1</v>
      </c>
      <c r="G547" s="1">
        <f t="shared" si="37"/>
        <v>37</v>
      </c>
      <c r="H547" s="1" t="str">
        <f t="shared" si="36"/>
        <v>insert into catInformation select 968,'Calle Domicilio del Apoderado Legal 2',0,1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9">
        <v>969</v>
      </c>
      <c r="B548" s="9"/>
      <c r="C548" s="9" t="s">
        <v>1658</v>
      </c>
      <c r="D548" s="10"/>
      <c r="E548" s="9" t="s">
        <v>1659</v>
      </c>
      <c r="F548" s="1">
        <v>1</v>
      </c>
      <c r="G548" s="1">
        <f t="shared" si="37"/>
        <v>47</v>
      </c>
      <c r="H548" s="1" t="str">
        <f t="shared" si="36"/>
        <v>insert into catInformation select 969,'Numero Exterior Domicilio del Apoderado Legal 2',0,1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9">
        <v>970</v>
      </c>
      <c r="B549" s="9"/>
      <c r="C549" s="9" t="s">
        <v>1660</v>
      </c>
      <c r="D549" s="10"/>
      <c r="E549" s="9" t="s">
        <v>1661</v>
      </c>
      <c r="F549" s="1">
        <v>1</v>
      </c>
      <c r="G549" s="1">
        <f t="shared" si="37"/>
        <v>48</v>
      </c>
      <c r="H549" s="1" t="str">
        <f t="shared" si="36"/>
        <v>insert into catInformation select 970,'Numero Interior Domicilio del Apoderado Legal  2',0,1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9">
        <v>971</v>
      </c>
      <c r="B550" s="9"/>
      <c r="C550" s="9" t="s">
        <v>1662</v>
      </c>
      <c r="D550" s="10"/>
      <c r="E550" s="9" t="s">
        <v>1663</v>
      </c>
      <c r="F550" s="1">
        <v>1</v>
      </c>
      <c r="G550" s="1">
        <f t="shared" si="37"/>
        <v>44</v>
      </c>
      <c r="H550" s="1" t="str">
        <f t="shared" si="36"/>
        <v>insert into catInformation select 971,'Entre Calles Domicilio del Apoderado Legal 2',0,1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9">
        <v>972</v>
      </c>
      <c r="B551" s="9"/>
      <c r="C551" s="9" t="s">
        <v>1664</v>
      </c>
      <c r="D551" s="10"/>
      <c r="E551" s="9" t="s">
        <v>1665</v>
      </c>
      <c r="F551" s="1">
        <v>1</v>
      </c>
      <c r="G551" s="1">
        <f t="shared" si="37"/>
        <v>39</v>
      </c>
      <c r="H551" s="1" t="str">
        <f t="shared" si="36"/>
        <v>insert into catInformation select 972,'Colonia Domicilio del Apoderado Legal 2',0,1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9">
        <v>973</v>
      </c>
      <c r="B552" s="9"/>
      <c r="C552" s="9" t="s">
        <v>1666</v>
      </c>
      <c r="D552" s="10"/>
      <c r="E552" s="9" t="s">
        <v>1667</v>
      </c>
      <c r="F552" s="1">
        <v>1</v>
      </c>
      <c r="G552" s="1">
        <f t="shared" si="37"/>
        <v>41</v>
      </c>
      <c r="H552" s="1" t="str">
        <f t="shared" si="36"/>
        <v>insert into catInformation select 973,'Localidad Domicilio del Apoderado Legal 2',0,1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9">
        <v>974</v>
      </c>
      <c r="B553" s="9"/>
      <c r="C553" s="9" t="s">
        <v>1668</v>
      </c>
      <c r="D553" s="10"/>
      <c r="E553" s="9" t="s">
        <v>1669</v>
      </c>
      <c r="F553" s="1">
        <v>1</v>
      </c>
      <c r="G553" s="1">
        <f t="shared" si="37"/>
        <v>50</v>
      </c>
      <c r="H553" s="1" t="str">
        <f t="shared" si="36"/>
        <v>insert into catInformation select 974,'Municipio / Ciudad Domicilio del Apoderado Legal 2',0,1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9">
        <v>975</v>
      </c>
      <c r="B554" s="9"/>
      <c r="C554" s="9" t="s">
        <v>1670</v>
      </c>
      <c r="D554" s="10"/>
      <c r="E554" s="9" t="s">
        <v>1671</v>
      </c>
      <c r="F554" s="1">
        <v>1</v>
      </c>
      <c r="G554" s="1">
        <f t="shared" si="37"/>
        <v>38</v>
      </c>
      <c r="H554" s="1" t="str">
        <f t="shared" si="36"/>
        <v>insert into catInformation select 975,'Estado Domicilio del Apoderado Legal 2',0,1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9">
        <v>976</v>
      </c>
      <c r="B555" s="9"/>
      <c r="C555" s="9" t="s">
        <v>1672</v>
      </c>
      <c r="D555" s="10"/>
      <c r="E555" s="9" t="s">
        <v>1673</v>
      </c>
      <c r="F555" s="1">
        <v>1</v>
      </c>
      <c r="G555" s="1">
        <f t="shared" si="37"/>
        <v>45</v>
      </c>
      <c r="H555" s="1" t="str">
        <f t="shared" si="36"/>
        <v>insert into catInformation select 976,'Codigo Postal Domicilio del Apoderado Legal 2',0,1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9"/>
      <c r="B556" s="9"/>
      <c r="C556" s="9"/>
      <c r="D556" s="10"/>
      <c r="E556" s="9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9">
        <v>981</v>
      </c>
      <c r="B557" s="9"/>
      <c r="C557" s="9" t="s">
        <v>1674</v>
      </c>
      <c r="D557" s="10"/>
      <c r="E557" s="9" t="s">
        <v>1675</v>
      </c>
      <c r="F557" s="1">
        <v>1</v>
      </c>
      <c r="G557" s="1">
        <f t="shared" ref="G557:G561" si="38">LEN(C557)</f>
        <v>28</v>
      </c>
      <c r="H557" s="1" t="str">
        <f t="shared" ref="H557:H572" si="39">CONCATENATE("insert into catInformation select ",A557,",'",C557,"',0,",F557)</f>
        <v>insert into catInformation select 981,'Nombre del Apoderado Legal 3',0,1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9">
        <v>982</v>
      </c>
      <c r="B558" s="9"/>
      <c r="C558" s="9" t="s">
        <v>1676</v>
      </c>
      <c r="D558" s="10"/>
      <c r="E558" s="9" t="s">
        <v>1677</v>
      </c>
      <c r="F558" s="1">
        <v>1</v>
      </c>
      <c r="G558" s="1">
        <f t="shared" si="38"/>
        <v>25</v>
      </c>
      <c r="H558" s="1" t="str">
        <f t="shared" si="39"/>
        <v>insert into catInformation select 982,'RFC del Apoderado Legal 3',0,1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9">
        <v>983</v>
      </c>
      <c r="B559" s="9"/>
      <c r="C559" s="9" t="s">
        <v>1678</v>
      </c>
      <c r="D559" s="10"/>
      <c r="E559" s="9" t="s">
        <v>1679</v>
      </c>
      <c r="F559" s="1">
        <v>1</v>
      </c>
      <c r="G559" s="1">
        <f t="shared" si="38"/>
        <v>34</v>
      </c>
      <c r="H559" s="1" t="str">
        <f t="shared" si="39"/>
        <v>insert into catInformation select 983,'Fecha Nacimiento Apoderado Legal 3',0,1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9">
        <v>984</v>
      </c>
      <c r="B560" s="9"/>
      <c r="C560" s="9" t="s">
        <v>1680</v>
      </c>
      <c r="D560" s="10"/>
      <c r="E560" s="9" t="s">
        <v>1681</v>
      </c>
      <c r="F560" s="1">
        <v>1</v>
      </c>
      <c r="G560" s="1">
        <f t="shared" si="38"/>
        <v>26</v>
      </c>
      <c r="H560" s="1" t="str">
        <f t="shared" si="39"/>
        <v>insert into catInformation select 984,'Edad del Apoderado Legal 3',0,1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9">
        <v>985</v>
      </c>
      <c r="B561" s="9"/>
      <c r="C561" s="9" t="s">
        <v>1682</v>
      </c>
      <c r="D561" s="10"/>
      <c r="E561" s="9" t="s">
        <v>1683</v>
      </c>
      <c r="F561" s="1">
        <v>1</v>
      </c>
      <c r="G561" s="1">
        <f t="shared" si="38"/>
        <v>30</v>
      </c>
      <c r="H561" s="1" t="str">
        <f t="shared" si="39"/>
        <v>insert into catInformation select 985,'Estado Civil Apoderado Legal 3',0,1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9">
        <v>986</v>
      </c>
      <c r="B562" s="9"/>
      <c r="C562" s="9" t="s">
        <v>1684</v>
      </c>
      <c r="D562" s="10"/>
      <c r="E562" s="9" t="s">
        <v>1685</v>
      </c>
      <c r="F562" s="1">
        <v>1</v>
      </c>
      <c r="G562" s="1">
        <f>LEN(C564)</f>
        <v>37</v>
      </c>
      <c r="H562" s="1" t="str">
        <f t="shared" si="39"/>
        <v>insert into catInformation select 986,'Nacionalidad del Apoderado Legal 3',0,1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9">
        <v>987</v>
      </c>
      <c r="B563" s="9"/>
      <c r="C563" s="9" t="s">
        <v>1686</v>
      </c>
      <c r="D563" s="10"/>
      <c r="E563" s="9" t="s">
        <v>1687</v>
      </c>
      <c r="F563" s="1">
        <v>1</v>
      </c>
      <c r="G563" s="1">
        <f t="shared" ref="G563:G572" si="40">LEN(C563)</f>
        <v>31</v>
      </c>
      <c r="H563" s="1" t="str">
        <f t="shared" si="39"/>
        <v>insert into catInformation select 987,'Ocupacion del Apoderado Legal 3',0,1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9">
        <v>988</v>
      </c>
      <c r="B564" s="9"/>
      <c r="C564" s="9" t="s">
        <v>1688</v>
      </c>
      <c r="D564" s="10"/>
      <c r="E564" s="9" t="s">
        <v>1689</v>
      </c>
      <c r="F564" s="1">
        <v>1</v>
      </c>
      <c r="G564" s="1">
        <f t="shared" si="40"/>
        <v>37</v>
      </c>
      <c r="H564" s="1" t="str">
        <f t="shared" si="39"/>
        <v>insert into catInformation select 988,'Calle Domicilio del Apoderado Legal 3',0,1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9">
        <v>989</v>
      </c>
      <c r="B565" s="9"/>
      <c r="C565" s="9" t="s">
        <v>1690</v>
      </c>
      <c r="D565" s="10"/>
      <c r="E565" s="9" t="s">
        <v>1691</v>
      </c>
      <c r="F565" s="1">
        <v>1</v>
      </c>
      <c r="G565" s="1">
        <f t="shared" si="40"/>
        <v>47</v>
      </c>
      <c r="H565" s="1" t="str">
        <f t="shared" si="39"/>
        <v>insert into catInformation select 989,'Numero Exterior Domicilio del Apoderado Legal 3',0,1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9">
        <v>990</v>
      </c>
      <c r="B566" s="9"/>
      <c r="C566" s="9" t="s">
        <v>1692</v>
      </c>
      <c r="D566" s="10"/>
      <c r="E566" s="9" t="s">
        <v>1693</v>
      </c>
      <c r="F566" s="1">
        <v>1</v>
      </c>
      <c r="G566" s="1">
        <f t="shared" si="40"/>
        <v>48</v>
      </c>
      <c r="H566" s="1" t="str">
        <f t="shared" si="39"/>
        <v>insert into catInformation select 990,'Numero Interior Domicilio del Apoderado Legal  3',0,1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9">
        <v>991</v>
      </c>
      <c r="B567" s="9"/>
      <c r="C567" s="9" t="s">
        <v>1694</v>
      </c>
      <c r="D567" s="10"/>
      <c r="E567" s="9" t="s">
        <v>1695</v>
      </c>
      <c r="F567" s="1">
        <v>1</v>
      </c>
      <c r="G567" s="1">
        <f t="shared" si="40"/>
        <v>44</v>
      </c>
      <c r="H567" s="1" t="str">
        <f t="shared" si="39"/>
        <v>insert into catInformation select 991,'Entre Calles Domicilio del Apoderado Legal 3',0,1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9">
        <v>992</v>
      </c>
      <c r="B568" s="9"/>
      <c r="C568" s="9" t="s">
        <v>1696</v>
      </c>
      <c r="D568" s="10"/>
      <c r="E568" s="9" t="s">
        <v>1697</v>
      </c>
      <c r="F568" s="1">
        <v>1</v>
      </c>
      <c r="G568" s="1">
        <f t="shared" si="40"/>
        <v>39</v>
      </c>
      <c r="H568" s="1" t="str">
        <f t="shared" si="39"/>
        <v>insert into catInformation select 992,'Colonia Domicilio del Apoderado Legal 3',0,1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9">
        <v>993</v>
      </c>
      <c r="B569" s="9"/>
      <c r="C569" s="9" t="s">
        <v>1698</v>
      </c>
      <c r="D569" s="10"/>
      <c r="E569" s="9" t="s">
        <v>1699</v>
      </c>
      <c r="F569" s="1">
        <v>1</v>
      </c>
      <c r="G569" s="1">
        <f t="shared" si="40"/>
        <v>41</v>
      </c>
      <c r="H569" s="1" t="str">
        <f t="shared" si="39"/>
        <v>insert into catInformation select 993,'Localidad Domicilio del Apoderado Legal 3',0,1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9">
        <v>994</v>
      </c>
      <c r="B570" s="9"/>
      <c r="C570" s="9" t="s">
        <v>1700</v>
      </c>
      <c r="D570" s="10"/>
      <c r="E570" s="9" t="s">
        <v>1701</v>
      </c>
      <c r="F570" s="1">
        <v>1</v>
      </c>
      <c r="G570" s="1">
        <f t="shared" si="40"/>
        <v>50</v>
      </c>
      <c r="H570" s="1" t="str">
        <f t="shared" si="39"/>
        <v>insert into catInformation select 994,'Municipio / Ciudad Domicilio del Apoderado Legal 3',0,1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9">
        <v>995</v>
      </c>
      <c r="B571" s="9"/>
      <c r="C571" s="9" t="s">
        <v>1702</v>
      </c>
      <c r="D571" s="10"/>
      <c r="E571" s="9" t="s">
        <v>1703</v>
      </c>
      <c r="F571" s="1">
        <v>1</v>
      </c>
      <c r="G571" s="1">
        <f t="shared" si="40"/>
        <v>38</v>
      </c>
      <c r="H571" s="1" t="str">
        <f t="shared" si="39"/>
        <v>insert into catInformation select 995,'Estado Domicilio del Apoderado Legal 3',0,1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9">
        <v>996</v>
      </c>
      <c r="B572" s="9"/>
      <c r="C572" s="9" t="s">
        <v>1704</v>
      </c>
      <c r="D572" s="10"/>
      <c r="E572" s="9" t="s">
        <v>1705</v>
      </c>
      <c r="F572" s="1">
        <v>1</v>
      </c>
      <c r="G572" s="1">
        <f t="shared" si="40"/>
        <v>45</v>
      </c>
      <c r="H572" s="1" t="str">
        <f t="shared" si="39"/>
        <v>insert into catInformation select 996,'Codigo Postal Domicilio del Apoderado Legal 3',0,1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9"/>
      <c r="B573" s="9"/>
      <c r="C573" s="9"/>
      <c r="D573" s="10"/>
      <c r="E573" s="9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9">
        <v>1001</v>
      </c>
      <c r="B574" s="9" t="s">
        <v>1706</v>
      </c>
      <c r="C574" s="9" t="s">
        <v>316</v>
      </c>
      <c r="D574" s="10"/>
      <c r="E574" s="9" t="s">
        <v>317</v>
      </c>
      <c r="F574" s="1">
        <v>1</v>
      </c>
      <c r="G574" s="1">
        <f t="shared" ref="G574:G577" si="41">LEN(C574)</f>
        <v>17</v>
      </c>
      <c r="H574" s="1" t="str">
        <f t="shared" ref="H574:H577" si="42">CONCATENATE("insert into catInformation select ",A574,",'",C574,"',0,",F574)</f>
        <v>insert into catInformation select 1001,'Numero de Pagador',0,1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9">
        <v>1002</v>
      </c>
      <c r="B575" s="9" t="s">
        <v>1707</v>
      </c>
      <c r="C575" s="9" t="s">
        <v>318</v>
      </c>
      <c r="D575" s="10"/>
      <c r="E575" s="9" t="s">
        <v>319</v>
      </c>
      <c r="F575" s="1">
        <v>1</v>
      </c>
      <c r="G575" s="1">
        <f t="shared" si="41"/>
        <v>34</v>
      </c>
      <c r="H575" s="1" t="str">
        <f t="shared" si="42"/>
        <v>insert into catInformation select 1002,'Clave de la Dependencia para cobro',0,1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9">
        <v>1003</v>
      </c>
      <c r="B576" s="9" t="s">
        <v>1708</v>
      </c>
      <c r="C576" s="9" t="s">
        <v>320</v>
      </c>
      <c r="D576" s="10"/>
      <c r="E576" s="9" t="s">
        <v>321</v>
      </c>
      <c r="F576" s="1">
        <v>1</v>
      </c>
      <c r="G576" s="1">
        <f t="shared" si="41"/>
        <v>30</v>
      </c>
      <c r="H576" s="1" t="str">
        <f t="shared" si="42"/>
        <v>insert into catInformation select 1003,'Numero de Expediente de Nomina',0,1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41">
        <v>1004</v>
      </c>
      <c r="B577" s="41" t="s">
        <v>1709</v>
      </c>
      <c r="C577" s="41" t="s">
        <v>322</v>
      </c>
      <c r="D577" s="42"/>
      <c r="E577" s="41" t="s">
        <v>323</v>
      </c>
      <c r="F577" s="1">
        <v>1</v>
      </c>
      <c r="G577" s="1">
        <f t="shared" si="41"/>
        <v>18</v>
      </c>
      <c r="H577" s="1" t="str">
        <f t="shared" si="42"/>
        <v>insert into catInformation select 1004,'Numero de Empleado',0,1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41"/>
      <c r="B578" s="41"/>
      <c r="C578" s="41"/>
      <c r="D578" s="42"/>
      <c r="E578" s="4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41">
        <v>1101</v>
      </c>
      <c r="B579" s="41" t="s">
        <v>1710</v>
      </c>
      <c r="C579" s="41" t="s">
        <v>1711</v>
      </c>
      <c r="D579" s="42"/>
      <c r="E579" s="41" t="s">
        <v>1712</v>
      </c>
      <c r="F579" s="1">
        <v>1</v>
      </c>
      <c r="G579" s="1">
        <f t="shared" ref="G579:G582" si="43">LEN(C579)</f>
        <v>19</v>
      </c>
      <c r="H579" s="1" t="str">
        <f t="shared" ref="H579:H580" si="44">CONCATENATE("insert into catInformation select ",A579,",'",C579,"',0,",F579)</f>
        <v>insert into catInformation select 1101,'Actividad Económica',0,1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41">
        <v>1102</v>
      </c>
      <c r="B580" s="41" t="s">
        <v>1713</v>
      </c>
      <c r="C580" s="41" t="s">
        <v>1714</v>
      </c>
      <c r="D580" s="42"/>
      <c r="E580" s="41"/>
      <c r="F580" s="1">
        <v>1</v>
      </c>
      <c r="G580" s="1">
        <f t="shared" si="43"/>
        <v>31</v>
      </c>
      <c r="H580" s="1" t="str">
        <f t="shared" si="44"/>
        <v>insert into catInformation select 1102,'Descripcion Actividad Económica',0,1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41">
        <v>1103</v>
      </c>
      <c r="B581" s="41" t="s">
        <v>1715</v>
      </c>
      <c r="C581" s="41" t="s">
        <v>1716</v>
      </c>
      <c r="D581" s="42"/>
      <c r="E581" s="41"/>
      <c r="F581" s="1"/>
      <c r="G581" s="1">
        <f t="shared" si="43"/>
        <v>25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41">
        <v>1104</v>
      </c>
      <c r="B582" s="41" t="s">
        <v>1717</v>
      </c>
      <c r="C582" s="41" t="s">
        <v>1718</v>
      </c>
      <c r="D582" s="42"/>
      <c r="E582" s="41"/>
      <c r="F582" s="1"/>
      <c r="G582" s="1">
        <f t="shared" si="43"/>
        <v>40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41"/>
      <c r="B583" s="41"/>
      <c r="C583" s="41"/>
      <c r="D583" s="42"/>
      <c r="E583" s="4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41">
        <v>1181</v>
      </c>
      <c r="B584" s="41" t="s">
        <v>1719</v>
      </c>
      <c r="C584" s="41" t="s">
        <v>1720</v>
      </c>
      <c r="D584" s="42"/>
      <c r="E584" s="41" t="s">
        <v>1721</v>
      </c>
      <c r="F584" s="1">
        <v>1</v>
      </c>
      <c r="G584" s="1">
        <f t="shared" ref="G584:G590" si="45">LEN(C584)</f>
        <v>44</v>
      </c>
      <c r="H584" s="1" t="str">
        <f t="shared" ref="H584:H590" si="46">CONCATENATE("insert into catInformation select ",A584,",'",C584,"',0,",F584)</f>
        <v>insert into catInformation select 1181,'Nombre de la 1a. Referencia Comercial Tipo 1',0,1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41">
        <v>1182</v>
      </c>
      <c r="B585" s="41" t="s">
        <v>1722</v>
      </c>
      <c r="C585" s="41" t="s">
        <v>1723</v>
      </c>
      <c r="D585" s="42"/>
      <c r="E585" s="41" t="s">
        <v>1724</v>
      </c>
      <c r="F585" s="1">
        <v>1</v>
      </c>
      <c r="G585" s="1">
        <f t="shared" si="45"/>
        <v>49</v>
      </c>
      <c r="H585" s="1" t="str">
        <f t="shared" si="46"/>
        <v>insert into catInformation select 1182,'Cuenta/ref. de la 1a. Referencia Comercial Tipo 1',0,1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41">
        <v>1183</v>
      </c>
      <c r="B586" s="41" t="s">
        <v>1725</v>
      </c>
      <c r="C586" s="41" t="s">
        <v>1726</v>
      </c>
      <c r="D586" s="42"/>
      <c r="E586" s="41" t="s">
        <v>1727</v>
      </c>
      <c r="F586" s="1">
        <v>2</v>
      </c>
      <c r="G586" s="1">
        <f t="shared" si="45"/>
        <v>43</v>
      </c>
      <c r="H586" s="1" t="str">
        <f t="shared" si="46"/>
        <v>insert into catInformation select 1183,'Monto de la 1a. Referencia Comercial Tipo 1',0,2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41">
        <v>1184</v>
      </c>
      <c r="B587" s="41" t="s">
        <v>1728</v>
      </c>
      <c r="C587" s="41" t="s">
        <v>1729</v>
      </c>
      <c r="D587" s="42"/>
      <c r="E587" s="41" t="s">
        <v>1730</v>
      </c>
      <c r="F587" s="1">
        <v>2</v>
      </c>
      <c r="G587" s="1">
        <f t="shared" si="45"/>
        <v>43</v>
      </c>
      <c r="H587" s="1" t="str">
        <f t="shared" si="46"/>
        <v>insert into catInformation select 1184,'Saldo de la 1a. Referencia Comercial Tipo 1',0,2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41">
        <v>1185</v>
      </c>
      <c r="B588" s="41" t="s">
        <v>1731</v>
      </c>
      <c r="C588" s="41" t="s">
        <v>1732</v>
      </c>
      <c r="D588" s="42"/>
      <c r="E588" s="41" t="s">
        <v>1733</v>
      </c>
      <c r="F588" s="1">
        <v>1</v>
      </c>
      <c r="G588" s="1">
        <f t="shared" si="45"/>
        <v>41</v>
      </c>
      <c r="H588" s="1" t="str">
        <f t="shared" si="46"/>
        <v>insert into catInformation select 1185,'Telefono  1a. Referencia Comercial Tipo 1',0,1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41">
        <v>1186</v>
      </c>
      <c r="B589" s="41" t="s">
        <v>1734</v>
      </c>
      <c r="C589" s="41" t="s">
        <v>1735</v>
      </c>
      <c r="D589" s="42"/>
      <c r="E589" s="41" t="s">
        <v>1736</v>
      </c>
      <c r="F589" s="1">
        <v>1</v>
      </c>
      <c r="G589" s="1">
        <f t="shared" si="45"/>
        <v>47</v>
      </c>
      <c r="H589" s="1" t="str">
        <f t="shared" si="46"/>
        <v>insert into catInformation select 1186,'Nombre Contacto 1a. Referencia Comercial Tipo 1',0,1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41">
        <v>1187</v>
      </c>
      <c r="B590" s="41" t="s">
        <v>1737</v>
      </c>
      <c r="C590" s="41" t="s">
        <v>1738</v>
      </c>
      <c r="D590" s="42"/>
      <c r="E590" s="41" t="s">
        <v>1739</v>
      </c>
      <c r="F590" s="1">
        <v>1</v>
      </c>
      <c r="G590" s="1">
        <f t="shared" si="45"/>
        <v>47</v>
      </c>
      <c r="H590" s="1" t="str">
        <f t="shared" si="46"/>
        <v>insert into catInformation select 1187,'Cargo Contacto  1a. Referencia Comercial Tipo 1',0,1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41"/>
      <c r="B591" s="41"/>
      <c r="C591" s="41"/>
      <c r="D591" s="42"/>
      <c r="E591" s="4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41">
        <v>1191</v>
      </c>
      <c r="B592" s="41" t="s">
        <v>1740</v>
      </c>
      <c r="C592" s="41" t="s">
        <v>1741</v>
      </c>
      <c r="D592" s="42"/>
      <c r="E592" s="41" t="s">
        <v>1742</v>
      </c>
      <c r="F592" s="1">
        <v>1</v>
      </c>
      <c r="G592" s="1">
        <f t="shared" ref="G592:G598" si="47">LEN(C592)</f>
        <v>44</v>
      </c>
      <c r="H592" s="1" t="str">
        <f t="shared" ref="H592:H598" si="48">CONCATENATE("insert into catInformation select ",A592,",'",C592,"',0,",F592)</f>
        <v>insert into catInformation select 1191,'Nombre de la 2a. Referencia Comercial Tipo 1',0,1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41">
        <v>1192</v>
      </c>
      <c r="B593" s="41" t="s">
        <v>1743</v>
      </c>
      <c r="C593" s="41" t="s">
        <v>1744</v>
      </c>
      <c r="D593" s="42"/>
      <c r="E593" s="41" t="s">
        <v>1745</v>
      </c>
      <c r="F593" s="1">
        <v>1</v>
      </c>
      <c r="G593" s="1">
        <f t="shared" si="47"/>
        <v>49</v>
      </c>
      <c r="H593" s="1" t="str">
        <f t="shared" si="48"/>
        <v>insert into catInformation select 1192,'Cuenta/ref. de la 2a. Referencia Comercial Tipo 1',0,1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41">
        <v>1193</v>
      </c>
      <c r="B594" s="41" t="s">
        <v>1746</v>
      </c>
      <c r="C594" s="41" t="s">
        <v>1747</v>
      </c>
      <c r="D594" s="42"/>
      <c r="E594" s="41" t="s">
        <v>1748</v>
      </c>
      <c r="F594" s="1">
        <v>2</v>
      </c>
      <c r="G594" s="1">
        <f t="shared" si="47"/>
        <v>43</v>
      </c>
      <c r="H594" s="1" t="str">
        <f t="shared" si="48"/>
        <v>insert into catInformation select 1193,'Monto de la 2a. Referencia Comercial Tipo 1',0,2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41">
        <v>1194</v>
      </c>
      <c r="B595" s="41" t="s">
        <v>1749</v>
      </c>
      <c r="C595" s="41" t="s">
        <v>1750</v>
      </c>
      <c r="D595" s="42"/>
      <c r="E595" s="41" t="s">
        <v>1751</v>
      </c>
      <c r="F595" s="1">
        <v>2</v>
      </c>
      <c r="G595" s="1">
        <f t="shared" si="47"/>
        <v>43</v>
      </c>
      <c r="H595" s="1" t="str">
        <f t="shared" si="48"/>
        <v>insert into catInformation select 1194,'Saldo de la 2a. Referencia Comercial Tipo 1',0,2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41">
        <v>1195</v>
      </c>
      <c r="B596" s="41" t="s">
        <v>1752</v>
      </c>
      <c r="C596" s="41" t="s">
        <v>1753</v>
      </c>
      <c r="D596" s="42"/>
      <c r="E596" s="41" t="s">
        <v>1754</v>
      </c>
      <c r="F596" s="1">
        <v>1</v>
      </c>
      <c r="G596" s="1">
        <f t="shared" si="47"/>
        <v>41</v>
      </c>
      <c r="H596" s="1" t="str">
        <f t="shared" si="48"/>
        <v>insert into catInformation select 1195,'Telefono  2a. Referencia Comercial Tipo 1',0,1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41">
        <v>1196</v>
      </c>
      <c r="B597" s="41" t="s">
        <v>1755</v>
      </c>
      <c r="C597" s="41" t="s">
        <v>1756</v>
      </c>
      <c r="D597" s="42"/>
      <c r="E597" s="41" t="s">
        <v>1757</v>
      </c>
      <c r="F597" s="1">
        <v>1</v>
      </c>
      <c r="G597" s="1">
        <f t="shared" si="47"/>
        <v>47</v>
      </c>
      <c r="H597" s="1" t="str">
        <f t="shared" si="48"/>
        <v>insert into catInformation select 1196,'Nombre Contacto 2a. Referencia Comercial Tipo 1',0,1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41">
        <v>1197</v>
      </c>
      <c r="B598" s="41" t="s">
        <v>1758</v>
      </c>
      <c r="C598" s="41" t="s">
        <v>1759</v>
      </c>
      <c r="D598" s="42"/>
      <c r="E598" s="41" t="s">
        <v>1760</v>
      </c>
      <c r="F598" s="1">
        <v>1</v>
      </c>
      <c r="G598" s="1">
        <f t="shared" si="47"/>
        <v>47</v>
      </c>
      <c r="H598" s="1" t="str">
        <f t="shared" si="48"/>
        <v>insert into catInformation select 1197,'Cargo Contacto  2a. Referencia Comercial Tipo 1',0,1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41"/>
      <c r="B599" s="41"/>
      <c r="C599" s="41"/>
      <c r="D599" s="42"/>
      <c r="E599" s="4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41">
        <v>1201</v>
      </c>
      <c r="B600" s="41" t="s">
        <v>1761</v>
      </c>
      <c r="C600" s="41" t="s">
        <v>1762</v>
      </c>
      <c r="D600" s="42"/>
      <c r="E600" s="41" t="s">
        <v>1763</v>
      </c>
      <c r="F600" s="1">
        <v>1</v>
      </c>
      <c r="G600" s="1">
        <f t="shared" ref="G600:G606" si="49">LEN(C600)</f>
        <v>44</v>
      </c>
      <c r="H600" s="1" t="str">
        <f t="shared" ref="H600:H606" si="50">CONCATENATE("insert into catInformation select ",A600,",'",C600,"',0,",F600)</f>
        <v>insert into catInformation select 1201,'Nombre de la 3a. Referencia Comercial Tipo 1',0,1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41">
        <v>1202</v>
      </c>
      <c r="B601" s="41" t="s">
        <v>1764</v>
      </c>
      <c r="C601" s="41" t="s">
        <v>1765</v>
      </c>
      <c r="D601" s="42"/>
      <c r="E601" s="41" t="s">
        <v>1766</v>
      </c>
      <c r="F601" s="1">
        <v>1</v>
      </c>
      <c r="G601" s="1">
        <f t="shared" si="49"/>
        <v>49</v>
      </c>
      <c r="H601" s="1" t="str">
        <f t="shared" si="50"/>
        <v>insert into catInformation select 1202,'Cuenta/ref. de la 3a. Referencia Comercial Tipo 1',0,1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41">
        <v>1203</v>
      </c>
      <c r="B602" s="41" t="s">
        <v>1767</v>
      </c>
      <c r="C602" s="41" t="s">
        <v>1768</v>
      </c>
      <c r="D602" s="42"/>
      <c r="E602" s="41" t="s">
        <v>1769</v>
      </c>
      <c r="F602" s="1">
        <v>2</v>
      </c>
      <c r="G602" s="1">
        <f t="shared" si="49"/>
        <v>43</v>
      </c>
      <c r="H602" s="1" t="str">
        <f t="shared" si="50"/>
        <v>insert into catInformation select 1203,'Monto de la 3a. Referencia Comercial Tipo 1',0,2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41">
        <v>1204</v>
      </c>
      <c r="B603" s="41" t="s">
        <v>1770</v>
      </c>
      <c r="C603" s="41" t="s">
        <v>1771</v>
      </c>
      <c r="D603" s="42"/>
      <c r="E603" s="41" t="s">
        <v>1772</v>
      </c>
      <c r="F603" s="1">
        <v>2</v>
      </c>
      <c r="G603" s="1">
        <f t="shared" si="49"/>
        <v>43</v>
      </c>
      <c r="H603" s="1" t="str">
        <f t="shared" si="50"/>
        <v>insert into catInformation select 1204,'Saldo de la 3a. Referencia Comercial Tipo 1',0,2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41">
        <v>1205</v>
      </c>
      <c r="B604" s="41" t="s">
        <v>1773</v>
      </c>
      <c r="C604" s="41" t="s">
        <v>1774</v>
      </c>
      <c r="D604" s="42"/>
      <c r="E604" s="41" t="s">
        <v>1775</v>
      </c>
      <c r="F604" s="1">
        <v>1</v>
      </c>
      <c r="G604" s="1">
        <f t="shared" si="49"/>
        <v>41</v>
      </c>
      <c r="H604" s="1" t="str">
        <f t="shared" si="50"/>
        <v>insert into catInformation select 1205,'Telefono  3a. Referencia Comercial Tipo 1',0,1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41">
        <v>1206</v>
      </c>
      <c r="B605" s="41" t="s">
        <v>1776</v>
      </c>
      <c r="C605" s="41" t="s">
        <v>1777</v>
      </c>
      <c r="D605" s="42"/>
      <c r="E605" s="41" t="s">
        <v>1778</v>
      </c>
      <c r="F605" s="1">
        <v>1</v>
      </c>
      <c r="G605" s="1">
        <f t="shared" si="49"/>
        <v>47</v>
      </c>
      <c r="H605" s="1" t="str">
        <f t="shared" si="50"/>
        <v>insert into catInformation select 1206,'Nombre Contacto 3a. Referencia Comercial Tipo 1',0,1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41">
        <v>1207</v>
      </c>
      <c r="B606" s="41" t="s">
        <v>1779</v>
      </c>
      <c r="C606" s="41" t="s">
        <v>1780</v>
      </c>
      <c r="D606" s="42"/>
      <c r="E606" s="41" t="s">
        <v>1781</v>
      </c>
      <c r="F606" s="1">
        <v>1</v>
      </c>
      <c r="G606" s="1">
        <f t="shared" si="49"/>
        <v>47</v>
      </c>
      <c r="H606" s="1" t="str">
        <f t="shared" si="50"/>
        <v>insert into catInformation select 1207,'Cargo Contacto  3a. Referencia Comercial Tipo 1',0,1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41"/>
      <c r="B607" s="41"/>
      <c r="C607" s="41"/>
      <c r="D607" s="42"/>
      <c r="E607" s="4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41">
        <v>1211</v>
      </c>
      <c r="B608" s="41" t="s">
        <v>1782</v>
      </c>
      <c r="C608" s="41" t="s">
        <v>1783</v>
      </c>
      <c r="D608" s="42"/>
      <c r="E608" s="41" t="s">
        <v>1784</v>
      </c>
      <c r="F608" s="1">
        <v>1</v>
      </c>
      <c r="G608" s="1">
        <f t="shared" ref="G608:G614" si="51">LEN(C608)</f>
        <v>44</v>
      </c>
      <c r="H608" s="1" t="str">
        <f t="shared" ref="H608:H614" si="52">CONCATENATE("insert into catInformation select ",A608,",'",C608,"',0,",F608)</f>
        <v>insert into catInformation select 1211,'Nombre de la 4a. Referencia Comercial Tipo 1',0,1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41">
        <v>1212</v>
      </c>
      <c r="B609" s="41" t="s">
        <v>1785</v>
      </c>
      <c r="C609" s="41" t="s">
        <v>1786</v>
      </c>
      <c r="D609" s="42"/>
      <c r="E609" s="41" t="s">
        <v>1787</v>
      </c>
      <c r="F609" s="1">
        <v>1</v>
      </c>
      <c r="G609" s="1">
        <f t="shared" si="51"/>
        <v>49</v>
      </c>
      <c r="H609" s="1" t="str">
        <f t="shared" si="52"/>
        <v>insert into catInformation select 1212,'Cuenta/ref. de la 4a. Referencia Comercial Tipo 1',0,1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41">
        <v>1213</v>
      </c>
      <c r="B610" s="41" t="s">
        <v>1788</v>
      </c>
      <c r="C610" s="41" t="s">
        <v>1789</v>
      </c>
      <c r="D610" s="42"/>
      <c r="E610" s="41" t="s">
        <v>1790</v>
      </c>
      <c r="F610" s="1">
        <v>2</v>
      </c>
      <c r="G610" s="1">
        <f t="shared" si="51"/>
        <v>43</v>
      </c>
      <c r="H610" s="1" t="str">
        <f t="shared" si="52"/>
        <v>insert into catInformation select 1213,'Monto de la 4a. Referencia Comercial Tipo 1',0,2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41">
        <v>1214</v>
      </c>
      <c r="B611" s="41" t="s">
        <v>1791</v>
      </c>
      <c r="C611" s="41" t="s">
        <v>1792</v>
      </c>
      <c r="D611" s="42"/>
      <c r="E611" s="41" t="s">
        <v>1793</v>
      </c>
      <c r="F611" s="1">
        <v>2</v>
      </c>
      <c r="G611" s="1">
        <f t="shared" si="51"/>
        <v>43</v>
      </c>
      <c r="H611" s="1" t="str">
        <f t="shared" si="52"/>
        <v>insert into catInformation select 1214,'Saldo de la 4a. Referencia Comercial Tipo 1',0,2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41">
        <v>1215</v>
      </c>
      <c r="B612" s="41" t="s">
        <v>1794</v>
      </c>
      <c r="C612" s="41" t="s">
        <v>1795</v>
      </c>
      <c r="D612" s="42"/>
      <c r="E612" s="41" t="s">
        <v>1796</v>
      </c>
      <c r="F612" s="1">
        <v>1</v>
      </c>
      <c r="G612" s="1">
        <f t="shared" si="51"/>
        <v>41</v>
      </c>
      <c r="H612" s="1" t="str">
        <f t="shared" si="52"/>
        <v>insert into catInformation select 1215,'Telefono  4a. Referencia Comercial Tipo 1',0,1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41">
        <v>1216</v>
      </c>
      <c r="B613" s="41" t="s">
        <v>1797</v>
      </c>
      <c r="C613" s="41" t="s">
        <v>1798</v>
      </c>
      <c r="D613" s="42"/>
      <c r="E613" s="41" t="s">
        <v>1799</v>
      </c>
      <c r="F613" s="1">
        <v>1</v>
      </c>
      <c r="G613" s="1">
        <f t="shared" si="51"/>
        <v>47</v>
      </c>
      <c r="H613" s="1" t="str">
        <f t="shared" si="52"/>
        <v>insert into catInformation select 1216,'Nombre Contacto 4a. Referencia Comercial Tipo 1',0,1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41">
        <v>1217</v>
      </c>
      <c r="B614" s="41" t="s">
        <v>1800</v>
      </c>
      <c r="C614" s="41" t="s">
        <v>1801</v>
      </c>
      <c r="D614" s="42"/>
      <c r="E614" s="41" t="s">
        <v>1802</v>
      </c>
      <c r="F614" s="1">
        <v>1</v>
      </c>
      <c r="G614" s="1">
        <f t="shared" si="51"/>
        <v>47</v>
      </c>
      <c r="H614" s="1" t="str">
        <f t="shared" si="52"/>
        <v>insert into catInformation select 1217,'Cargo Contacto  4a. Referencia Comercial Tipo 1',0,1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41"/>
      <c r="B615" s="41"/>
      <c r="C615" s="41"/>
      <c r="D615" s="42"/>
      <c r="E615" s="4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41">
        <v>1221</v>
      </c>
      <c r="B616" s="41" t="s">
        <v>1803</v>
      </c>
      <c r="C616" s="41" t="s">
        <v>1804</v>
      </c>
      <c r="D616" s="42"/>
      <c r="E616" s="41" t="s">
        <v>1805</v>
      </c>
      <c r="F616" s="1">
        <v>1</v>
      </c>
      <c r="G616" s="1">
        <f t="shared" ref="G616:G622" si="53">LEN(C616)</f>
        <v>44</v>
      </c>
      <c r="H616" s="1" t="str">
        <f t="shared" ref="H616:H622" si="54">CONCATENATE("insert into catInformation select ",A616,",'",C616,"',0,",F616)</f>
        <v>insert into catInformation select 1221,'Nombre de la 1a. Referencia Comercial Tipo 2',0,1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41">
        <v>1222</v>
      </c>
      <c r="B617" s="41" t="s">
        <v>1806</v>
      </c>
      <c r="C617" s="41" t="s">
        <v>1807</v>
      </c>
      <c r="D617" s="42"/>
      <c r="E617" s="41" t="s">
        <v>1808</v>
      </c>
      <c r="F617" s="1">
        <v>1</v>
      </c>
      <c r="G617" s="1">
        <f t="shared" si="53"/>
        <v>49</v>
      </c>
      <c r="H617" s="1" t="str">
        <f t="shared" si="54"/>
        <v>insert into catInformation select 1222,'Cuenta/ref. de la 1a. Referencia Comercial Tipo 2',0,1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41">
        <v>1223</v>
      </c>
      <c r="B618" s="41" t="s">
        <v>1809</v>
      </c>
      <c r="C618" s="41" t="s">
        <v>1810</v>
      </c>
      <c r="D618" s="42"/>
      <c r="E618" s="41" t="s">
        <v>1811</v>
      </c>
      <c r="F618" s="1">
        <v>2</v>
      </c>
      <c r="G618" s="1">
        <f t="shared" si="53"/>
        <v>43</v>
      </c>
      <c r="H618" s="1" t="str">
        <f t="shared" si="54"/>
        <v>insert into catInformation select 1223,'Monto de la 1a. Referencia Comercial Tipo 2',0,2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41">
        <v>1224</v>
      </c>
      <c r="B619" s="41" t="s">
        <v>1812</v>
      </c>
      <c r="C619" s="41" t="s">
        <v>1813</v>
      </c>
      <c r="D619" s="42"/>
      <c r="E619" s="41" t="s">
        <v>1814</v>
      </c>
      <c r="F619" s="1">
        <v>2</v>
      </c>
      <c r="G619" s="1">
        <f t="shared" si="53"/>
        <v>43</v>
      </c>
      <c r="H619" s="1" t="str">
        <f t="shared" si="54"/>
        <v>insert into catInformation select 1224,'Saldo de la 1a. Referencia Comercial Tipo 2',0,2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41">
        <v>1225</v>
      </c>
      <c r="B620" s="41" t="s">
        <v>1815</v>
      </c>
      <c r="C620" s="41" t="s">
        <v>1816</v>
      </c>
      <c r="D620" s="42"/>
      <c r="E620" s="41" t="s">
        <v>1817</v>
      </c>
      <c r="F620" s="1">
        <v>1</v>
      </c>
      <c r="G620" s="1">
        <f t="shared" si="53"/>
        <v>41</v>
      </c>
      <c r="H620" s="1" t="str">
        <f t="shared" si="54"/>
        <v>insert into catInformation select 1225,'Telefono  1a. Referencia Comercial Tipo 2',0,1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41">
        <v>1226</v>
      </c>
      <c r="B621" s="41" t="s">
        <v>1818</v>
      </c>
      <c r="C621" s="41" t="s">
        <v>1819</v>
      </c>
      <c r="D621" s="42"/>
      <c r="E621" s="41" t="s">
        <v>1820</v>
      </c>
      <c r="F621" s="1">
        <v>1</v>
      </c>
      <c r="G621" s="1">
        <f t="shared" si="53"/>
        <v>47</v>
      </c>
      <c r="H621" s="1" t="str">
        <f t="shared" si="54"/>
        <v>insert into catInformation select 1226,'Nombre Contacto 1a. Referencia Comercial Tipo 2',0,1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41">
        <v>1227</v>
      </c>
      <c r="B622" s="41" t="s">
        <v>1821</v>
      </c>
      <c r="C622" s="41" t="s">
        <v>1822</v>
      </c>
      <c r="D622" s="42"/>
      <c r="E622" s="41" t="s">
        <v>1823</v>
      </c>
      <c r="F622" s="1">
        <v>1</v>
      </c>
      <c r="G622" s="1">
        <f t="shared" si="53"/>
        <v>47</v>
      </c>
      <c r="H622" s="1" t="str">
        <f t="shared" si="54"/>
        <v>insert into catInformation select 1227,'Cargo Contacto  1a. Referencia Comercial Tipo 2',0,1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41"/>
      <c r="B623" s="41"/>
      <c r="C623" s="41"/>
      <c r="D623" s="42"/>
      <c r="E623" s="4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41">
        <v>1231</v>
      </c>
      <c r="B624" s="41" t="s">
        <v>1824</v>
      </c>
      <c r="C624" s="41" t="s">
        <v>1825</v>
      </c>
      <c r="D624" s="42"/>
      <c r="E624" s="41" t="s">
        <v>1826</v>
      </c>
      <c r="F624" s="1">
        <v>1</v>
      </c>
      <c r="G624" s="1">
        <f t="shared" ref="G624:G630" si="55">LEN(C624)</f>
        <v>44</v>
      </c>
      <c r="H624" s="1" t="str">
        <f t="shared" ref="H624:H630" si="56">CONCATENATE("insert into catInformation select ",A624,",'",C624,"',0,",F624)</f>
        <v>insert into catInformation select 1231,'Nombre de la 2a. Referencia Comercial Tipo 2',0,1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41">
        <v>1232</v>
      </c>
      <c r="B625" s="41" t="s">
        <v>1827</v>
      </c>
      <c r="C625" s="41" t="s">
        <v>1828</v>
      </c>
      <c r="D625" s="42"/>
      <c r="E625" s="41" t="s">
        <v>1829</v>
      </c>
      <c r="F625" s="1">
        <v>1</v>
      </c>
      <c r="G625" s="1">
        <f t="shared" si="55"/>
        <v>49</v>
      </c>
      <c r="H625" s="1" t="str">
        <f t="shared" si="56"/>
        <v>insert into catInformation select 1232,'Cuenta/ref. de la 2a. Referencia Comercial Tipo 2',0,1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41">
        <v>1233</v>
      </c>
      <c r="B626" s="41" t="s">
        <v>1830</v>
      </c>
      <c r="C626" s="41" t="s">
        <v>1831</v>
      </c>
      <c r="D626" s="42"/>
      <c r="E626" s="41" t="s">
        <v>1832</v>
      </c>
      <c r="F626" s="1">
        <v>2</v>
      </c>
      <c r="G626" s="1">
        <f t="shared" si="55"/>
        <v>43</v>
      </c>
      <c r="H626" s="1" t="str">
        <f t="shared" si="56"/>
        <v>insert into catInformation select 1233,'Monto de la 2a. Referencia Comercial Tipo 2',0,2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41">
        <v>1234</v>
      </c>
      <c r="B627" s="41" t="s">
        <v>1833</v>
      </c>
      <c r="C627" s="41" t="s">
        <v>1834</v>
      </c>
      <c r="D627" s="42"/>
      <c r="E627" s="41" t="s">
        <v>1835</v>
      </c>
      <c r="F627" s="1">
        <v>2</v>
      </c>
      <c r="G627" s="1">
        <f t="shared" si="55"/>
        <v>43</v>
      </c>
      <c r="H627" s="1" t="str">
        <f t="shared" si="56"/>
        <v>insert into catInformation select 1234,'Saldo de la 2a. Referencia Comercial Tipo 2',0,2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41">
        <v>1235</v>
      </c>
      <c r="B628" s="41" t="s">
        <v>1836</v>
      </c>
      <c r="C628" s="41" t="s">
        <v>1837</v>
      </c>
      <c r="D628" s="42"/>
      <c r="E628" s="41" t="s">
        <v>1838</v>
      </c>
      <c r="F628" s="1">
        <v>1</v>
      </c>
      <c r="G628" s="1">
        <f t="shared" si="55"/>
        <v>41</v>
      </c>
      <c r="H628" s="1" t="str">
        <f t="shared" si="56"/>
        <v>insert into catInformation select 1235,'Telefono  2a. Referencia Comercial Tipo 2',0,1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41">
        <v>1236</v>
      </c>
      <c r="B629" s="41" t="s">
        <v>1839</v>
      </c>
      <c r="C629" s="41" t="s">
        <v>1840</v>
      </c>
      <c r="D629" s="42"/>
      <c r="E629" s="41" t="s">
        <v>1841</v>
      </c>
      <c r="F629" s="1">
        <v>1</v>
      </c>
      <c r="G629" s="1">
        <f t="shared" si="55"/>
        <v>47</v>
      </c>
      <c r="H629" s="1" t="str">
        <f t="shared" si="56"/>
        <v>insert into catInformation select 1236,'Nombre Contacto 2a. Referencia Comercial Tipo 2',0,1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41">
        <v>1237</v>
      </c>
      <c r="B630" s="41" t="s">
        <v>1842</v>
      </c>
      <c r="C630" s="41" t="s">
        <v>1843</v>
      </c>
      <c r="D630" s="42"/>
      <c r="E630" s="41" t="s">
        <v>1844</v>
      </c>
      <c r="F630" s="1">
        <v>1</v>
      </c>
      <c r="G630" s="1">
        <f t="shared" si="55"/>
        <v>47</v>
      </c>
      <c r="H630" s="1" t="str">
        <f t="shared" si="56"/>
        <v>insert into catInformation select 1237,'Cargo Contacto  2a. Referencia Comercial Tipo 2',0,1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41"/>
      <c r="B631" s="41"/>
      <c r="C631" s="41"/>
      <c r="D631" s="42"/>
      <c r="E631" s="4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41">
        <v>1241</v>
      </c>
      <c r="B632" s="41" t="s">
        <v>1845</v>
      </c>
      <c r="C632" s="41" t="s">
        <v>1846</v>
      </c>
      <c r="D632" s="42"/>
      <c r="E632" s="41" t="s">
        <v>1847</v>
      </c>
      <c r="F632" s="1">
        <v>1</v>
      </c>
      <c r="G632" s="1">
        <f t="shared" ref="G632:G638" si="57">LEN(C632)</f>
        <v>44</v>
      </c>
      <c r="H632" s="1" t="str">
        <f t="shared" ref="H632:H638" si="58">CONCATENATE("insert into catInformation select ",A632,",'",C632,"',0,",F632)</f>
        <v>insert into catInformation select 1241,'Nombre de la 3a. Referencia Comercial Tipo 2',0,1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41">
        <v>1242</v>
      </c>
      <c r="B633" s="41" t="s">
        <v>1848</v>
      </c>
      <c r="C633" s="41" t="s">
        <v>1849</v>
      </c>
      <c r="D633" s="42"/>
      <c r="E633" s="41" t="s">
        <v>1850</v>
      </c>
      <c r="F633" s="1">
        <v>1</v>
      </c>
      <c r="G633" s="1">
        <f t="shared" si="57"/>
        <v>49</v>
      </c>
      <c r="H633" s="1" t="str">
        <f t="shared" si="58"/>
        <v>insert into catInformation select 1242,'Cuenta/ref. de la 3a. Referencia Comercial Tipo 2',0,1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41">
        <v>1243</v>
      </c>
      <c r="B634" s="41" t="s">
        <v>1851</v>
      </c>
      <c r="C634" s="41" t="s">
        <v>1852</v>
      </c>
      <c r="D634" s="42"/>
      <c r="E634" s="41" t="s">
        <v>1853</v>
      </c>
      <c r="F634" s="1">
        <v>2</v>
      </c>
      <c r="G634" s="1">
        <f t="shared" si="57"/>
        <v>43</v>
      </c>
      <c r="H634" s="1" t="str">
        <f t="shared" si="58"/>
        <v>insert into catInformation select 1243,'Monto de la 3a. Referencia Comercial Tipo 2',0,2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41">
        <v>1244</v>
      </c>
      <c r="B635" s="41" t="s">
        <v>1854</v>
      </c>
      <c r="C635" s="41" t="s">
        <v>1855</v>
      </c>
      <c r="D635" s="42"/>
      <c r="E635" s="41" t="s">
        <v>1856</v>
      </c>
      <c r="F635" s="1">
        <v>2</v>
      </c>
      <c r="G635" s="1">
        <f t="shared" si="57"/>
        <v>43</v>
      </c>
      <c r="H635" s="1" t="str">
        <f t="shared" si="58"/>
        <v>insert into catInformation select 1244,'Saldo de la 3a. Referencia Comercial Tipo 2',0,2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41">
        <v>1245</v>
      </c>
      <c r="B636" s="41" t="s">
        <v>1857</v>
      </c>
      <c r="C636" s="41" t="s">
        <v>1858</v>
      </c>
      <c r="D636" s="42"/>
      <c r="E636" s="41" t="s">
        <v>1859</v>
      </c>
      <c r="F636" s="1">
        <v>1</v>
      </c>
      <c r="G636" s="1">
        <f t="shared" si="57"/>
        <v>41</v>
      </c>
      <c r="H636" s="1" t="str">
        <f t="shared" si="58"/>
        <v>insert into catInformation select 1245,'Telefono  3a. Referencia Comercial Tipo 2',0,1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41">
        <v>1246</v>
      </c>
      <c r="B637" s="41" t="s">
        <v>1860</v>
      </c>
      <c r="C637" s="41" t="s">
        <v>1861</v>
      </c>
      <c r="D637" s="42"/>
      <c r="E637" s="41" t="s">
        <v>1862</v>
      </c>
      <c r="F637" s="1">
        <v>1</v>
      </c>
      <c r="G637" s="1">
        <f t="shared" si="57"/>
        <v>47</v>
      </c>
      <c r="H637" s="1" t="str">
        <f t="shared" si="58"/>
        <v>insert into catInformation select 1246,'Nombre Contacto 3a. Referencia Comercial Tipo 2',0,1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41">
        <v>1247</v>
      </c>
      <c r="B638" s="41" t="s">
        <v>1863</v>
      </c>
      <c r="C638" s="41" t="s">
        <v>1864</v>
      </c>
      <c r="D638" s="42"/>
      <c r="E638" s="41" t="s">
        <v>1865</v>
      </c>
      <c r="F638" s="1">
        <v>1</v>
      </c>
      <c r="G638" s="1">
        <f t="shared" si="57"/>
        <v>47</v>
      </c>
      <c r="H638" s="1" t="str">
        <f t="shared" si="58"/>
        <v>insert into catInformation select 1247,'Cargo Contacto  3a. Referencia Comercial Tipo 2',0,1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41"/>
      <c r="B639" s="41"/>
      <c r="C639" s="41"/>
      <c r="D639" s="42"/>
      <c r="E639" s="4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41">
        <v>1251</v>
      </c>
      <c r="B640" s="41" t="s">
        <v>1866</v>
      </c>
      <c r="C640" s="41" t="s">
        <v>1867</v>
      </c>
      <c r="D640" s="42"/>
      <c r="E640" s="41" t="s">
        <v>1868</v>
      </c>
      <c r="F640" s="1">
        <v>1</v>
      </c>
      <c r="G640" s="1">
        <f t="shared" ref="G640:G646" si="59">LEN(C640)</f>
        <v>44</v>
      </c>
      <c r="H640" s="1" t="str">
        <f t="shared" ref="H640:H646" si="60">CONCATENATE("insert into catInformation select ",A640,",'",C640,"',0,",F640)</f>
        <v>insert into catInformation select 1251,'Nombre de la 4a. Referencia Comercial Tipo 2',0,1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41">
        <v>1252</v>
      </c>
      <c r="B641" s="41" t="s">
        <v>1869</v>
      </c>
      <c r="C641" s="41" t="s">
        <v>1870</v>
      </c>
      <c r="D641" s="42"/>
      <c r="E641" s="41" t="s">
        <v>1871</v>
      </c>
      <c r="F641" s="1">
        <v>1</v>
      </c>
      <c r="G641" s="1">
        <f t="shared" si="59"/>
        <v>49</v>
      </c>
      <c r="H641" s="1" t="str">
        <f t="shared" si="60"/>
        <v>insert into catInformation select 1252,'Cuenta/ref. de la 4a. Referencia Comercial Tipo 2',0,1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41">
        <v>1253</v>
      </c>
      <c r="B642" s="41" t="s">
        <v>1872</v>
      </c>
      <c r="C642" s="41" t="s">
        <v>1873</v>
      </c>
      <c r="D642" s="42"/>
      <c r="E642" s="41" t="s">
        <v>1874</v>
      </c>
      <c r="F642" s="1">
        <v>2</v>
      </c>
      <c r="G642" s="1">
        <f t="shared" si="59"/>
        <v>43</v>
      </c>
      <c r="H642" s="1" t="str">
        <f t="shared" si="60"/>
        <v>insert into catInformation select 1253,'Monto de la 4a. Referencia Comercial Tipo 2',0,2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41">
        <v>1254</v>
      </c>
      <c r="B643" s="41" t="s">
        <v>1875</v>
      </c>
      <c r="C643" s="41" t="s">
        <v>1876</v>
      </c>
      <c r="D643" s="42"/>
      <c r="E643" s="41" t="s">
        <v>1877</v>
      </c>
      <c r="F643" s="1">
        <v>2</v>
      </c>
      <c r="G643" s="1">
        <f t="shared" si="59"/>
        <v>43</v>
      </c>
      <c r="H643" s="1" t="str">
        <f t="shared" si="60"/>
        <v>insert into catInformation select 1254,'Saldo de la 4a. Referencia Comercial Tipo 2',0,2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41">
        <v>1255</v>
      </c>
      <c r="B644" s="41" t="s">
        <v>1878</v>
      </c>
      <c r="C644" s="41" t="s">
        <v>1879</v>
      </c>
      <c r="D644" s="42"/>
      <c r="E644" s="41" t="s">
        <v>1880</v>
      </c>
      <c r="F644" s="1">
        <v>1</v>
      </c>
      <c r="G644" s="1">
        <f t="shared" si="59"/>
        <v>41</v>
      </c>
      <c r="H644" s="1" t="str">
        <f t="shared" si="60"/>
        <v>insert into catInformation select 1255,'Telefono  4a. Referencia Comercial Tipo 2',0,1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41">
        <v>1256</v>
      </c>
      <c r="B645" s="41" t="s">
        <v>1881</v>
      </c>
      <c r="C645" s="41" t="s">
        <v>1882</v>
      </c>
      <c r="D645" s="42"/>
      <c r="E645" s="41" t="s">
        <v>1883</v>
      </c>
      <c r="F645" s="1">
        <v>1</v>
      </c>
      <c r="G645" s="1">
        <f t="shared" si="59"/>
        <v>47</v>
      </c>
      <c r="H645" s="1" t="str">
        <f t="shared" si="60"/>
        <v>insert into catInformation select 1256,'Nombre Contacto 4a. Referencia Comercial Tipo 2',0,1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41">
        <v>1257</v>
      </c>
      <c r="B646" s="41" t="s">
        <v>1884</v>
      </c>
      <c r="C646" s="41" t="s">
        <v>1885</v>
      </c>
      <c r="D646" s="42"/>
      <c r="E646" s="41" t="s">
        <v>1886</v>
      </c>
      <c r="F646" s="1">
        <v>1</v>
      </c>
      <c r="G646" s="1">
        <f t="shared" si="59"/>
        <v>47</v>
      </c>
      <c r="H646" s="1" t="str">
        <f t="shared" si="60"/>
        <v>insert into catInformation select 1257,'Cargo Contacto  4a. Referencia Comercial Tipo 2',0,1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41"/>
      <c r="B647" s="41"/>
      <c r="C647" s="41"/>
      <c r="D647" s="42"/>
      <c r="E647" s="4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41">
        <v>1261</v>
      </c>
      <c r="B648" s="41" t="s">
        <v>1887</v>
      </c>
      <c r="C648" s="41" t="s">
        <v>1888</v>
      </c>
      <c r="D648" s="42"/>
      <c r="E648" s="41" t="s">
        <v>1889</v>
      </c>
      <c r="F648" s="1">
        <v>1</v>
      </c>
      <c r="G648" s="1">
        <f t="shared" ref="G648:G654" si="61">LEN(C648)</f>
        <v>44</v>
      </c>
      <c r="H648" s="1" t="str">
        <f t="shared" ref="H648:H654" si="62">CONCATENATE("insert into catInformation select ",A648,",'",C648,"',0,",F648)</f>
        <v>insert into catInformation select 1261,'Nombre de la 1a. Referencia Comercial Tipo 3',0,1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41">
        <v>1262</v>
      </c>
      <c r="B649" s="41" t="s">
        <v>1890</v>
      </c>
      <c r="C649" s="41" t="s">
        <v>1891</v>
      </c>
      <c r="D649" s="42"/>
      <c r="E649" s="41" t="s">
        <v>1892</v>
      </c>
      <c r="F649" s="1">
        <v>1</v>
      </c>
      <c r="G649" s="1">
        <f t="shared" si="61"/>
        <v>49</v>
      </c>
      <c r="H649" s="1" t="str">
        <f t="shared" si="62"/>
        <v>insert into catInformation select 1262,'Cuenta/ref. de la 1a. Referencia Comercial Tipo 3',0,1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41">
        <v>1263</v>
      </c>
      <c r="B650" s="41" t="s">
        <v>1893</v>
      </c>
      <c r="C650" s="41" t="s">
        <v>1894</v>
      </c>
      <c r="D650" s="42"/>
      <c r="E650" s="41" t="s">
        <v>1895</v>
      </c>
      <c r="F650" s="1">
        <v>2</v>
      </c>
      <c r="G650" s="1">
        <f t="shared" si="61"/>
        <v>43</v>
      </c>
      <c r="H650" s="1" t="str">
        <f t="shared" si="62"/>
        <v>insert into catInformation select 1263,'Monto de la 1a. Referencia Comercial Tipo 3',0,2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41">
        <v>1264</v>
      </c>
      <c r="B651" s="41" t="s">
        <v>1896</v>
      </c>
      <c r="C651" s="41" t="s">
        <v>1897</v>
      </c>
      <c r="D651" s="42"/>
      <c r="E651" s="41" t="s">
        <v>1898</v>
      </c>
      <c r="F651" s="1">
        <v>2</v>
      </c>
      <c r="G651" s="1">
        <f t="shared" si="61"/>
        <v>43</v>
      </c>
      <c r="H651" s="1" t="str">
        <f t="shared" si="62"/>
        <v>insert into catInformation select 1264,'Saldo de la 1a. Referencia Comercial Tipo 3',0,2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41">
        <v>1265</v>
      </c>
      <c r="B652" s="41" t="s">
        <v>1899</v>
      </c>
      <c r="C652" s="41" t="s">
        <v>1900</v>
      </c>
      <c r="D652" s="42"/>
      <c r="E652" s="41" t="s">
        <v>1901</v>
      </c>
      <c r="F652" s="1">
        <v>1</v>
      </c>
      <c r="G652" s="1">
        <f t="shared" si="61"/>
        <v>41</v>
      </c>
      <c r="H652" s="1" t="str">
        <f t="shared" si="62"/>
        <v>insert into catInformation select 1265,'Telefono  1a. Referencia Comercial Tipo 3',0,1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41">
        <v>1266</v>
      </c>
      <c r="B653" s="41" t="s">
        <v>1902</v>
      </c>
      <c r="C653" s="41" t="s">
        <v>1903</v>
      </c>
      <c r="D653" s="42"/>
      <c r="E653" s="41" t="s">
        <v>1904</v>
      </c>
      <c r="F653" s="1">
        <v>1</v>
      </c>
      <c r="G653" s="1">
        <f t="shared" si="61"/>
        <v>47</v>
      </c>
      <c r="H653" s="1" t="str">
        <f t="shared" si="62"/>
        <v>insert into catInformation select 1266,'Nombre Contacto 1a. Referencia Comercial Tipo 3',0,1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41">
        <v>1267</v>
      </c>
      <c r="B654" s="41" t="s">
        <v>1905</v>
      </c>
      <c r="C654" s="41" t="s">
        <v>1906</v>
      </c>
      <c r="D654" s="42"/>
      <c r="E654" s="41" t="s">
        <v>1907</v>
      </c>
      <c r="F654" s="1">
        <v>1</v>
      </c>
      <c r="G654" s="1">
        <f t="shared" si="61"/>
        <v>47</v>
      </c>
      <c r="H654" s="1" t="str">
        <f t="shared" si="62"/>
        <v>insert into catInformation select 1267,'Cargo Contacto  1a. Referencia Comercial Tipo 3',0,1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41"/>
      <c r="B655" s="41"/>
      <c r="C655" s="41"/>
      <c r="D655" s="42"/>
      <c r="E655" s="4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41">
        <v>1271</v>
      </c>
      <c r="B656" s="41" t="s">
        <v>1908</v>
      </c>
      <c r="C656" s="41" t="s">
        <v>1909</v>
      </c>
      <c r="D656" s="42"/>
      <c r="E656" s="41" t="s">
        <v>1910</v>
      </c>
      <c r="F656" s="1">
        <v>1</v>
      </c>
      <c r="G656" s="1">
        <f t="shared" ref="G656:G662" si="63">LEN(C656)</f>
        <v>44</v>
      </c>
      <c r="H656" s="1" t="str">
        <f t="shared" ref="H656:H662" si="64">CONCATENATE("insert into catInformation select ",A656,",'",C656,"',0,",F656)</f>
        <v>insert into catInformation select 1271,'Nombre de la 2a. Referencia Comercial Tipo 3',0,1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41">
        <v>1272</v>
      </c>
      <c r="B657" s="41" t="s">
        <v>1911</v>
      </c>
      <c r="C657" s="41" t="s">
        <v>1912</v>
      </c>
      <c r="D657" s="42"/>
      <c r="E657" s="41" t="s">
        <v>1913</v>
      </c>
      <c r="F657" s="1">
        <v>1</v>
      </c>
      <c r="G657" s="1">
        <f t="shared" si="63"/>
        <v>49</v>
      </c>
      <c r="H657" s="1" t="str">
        <f t="shared" si="64"/>
        <v>insert into catInformation select 1272,'Cuenta/ref. de la 2a. Referencia Comercial Tipo 3',0,1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41">
        <v>1273</v>
      </c>
      <c r="B658" s="41" t="s">
        <v>1914</v>
      </c>
      <c r="C658" s="41" t="s">
        <v>1915</v>
      </c>
      <c r="D658" s="42"/>
      <c r="E658" s="41" t="s">
        <v>1916</v>
      </c>
      <c r="F658" s="1">
        <v>2</v>
      </c>
      <c r="G658" s="1">
        <f t="shared" si="63"/>
        <v>43</v>
      </c>
      <c r="H658" s="1" t="str">
        <f t="shared" si="64"/>
        <v>insert into catInformation select 1273,'Monto de la 2a. Referencia Comercial Tipo 3',0,2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41">
        <v>1274</v>
      </c>
      <c r="B659" s="41" t="s">
        <v>1917</v>
      </c>
      <c r="C659" s="41" t="s">
        <v>1918</v>
      </c>
      <c r="D659" s="42"/>
      <c r="E659" s="41" t="s">
        <v>1919</v>
      </c>
      <c r="F659" s="1">
        <v>2</v>
      </c>
      <c r="G659" s="1">
        <f t="shared" si="63"/>
        <v>43</v>
      </c>
      <c r="H659" s="1" t="str">
        <f t="shared" si="64"/>
        <v>insert into catInformation select 1274,'Saldo de la 2a. Referencia Comercial Tipo 3',0,2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41">
        <v>1275</v>
      </c>
      <c r="B660" s="41" t="s">
        <v>1920</v>
      </c>
      <c r="C660" s="41" t="s">
        <v>1921</v>
      </c>
      <c r="D660" s="42"/>
      <c r="E660" s="41" t="s">
        <v>1922</v>
      </c>
      <c r="F660" s="1">
        <v>1</v>
      </c>
      <c r="G660" s="1">
        <f t="shared" si="63"/>
        <v>41</v>
      </c>
      <c r="H660" s="1" t="str">
        <f t="shared" si="64"/>
        <v>insert into catInformation select 1275,'Telefono  2a. Referencia Comercial Tipo 3',0,1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41">
        <v>1276</v>
      </c>
      <c r="B661" s="41" t="s">
        <v>1923</v>
      </c>
      <c r="C661" s="41" t="s">
        <v>1924</v>
      </c>
      <c r="D661" s="42"/>
      <c r="E661" s="41" t="s">
        <v>1925</v>
      </c>
      <c r="F661" s="1">
        <v>1</v>
      </c>
      <c r="G661" s="1">
        <f t="shared" si="63"/>
        <v>47</v>
      </c>
      <c r="H661" s="1" t="str">
        <f t="shared" si="64"/>
        <v>insert into catInformation select 1276,'Nombre Contacto 2a. Referencia Comercial Tipo 3',0,1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41">
        <v>1277</v>
      </c>
      <c r="B662" s="41" t="s">
        <v>1926</v>
      </c>
      <c r="C662" s="41" t="s">
        <v>1927</v>
      </c>
      <c r="D662" s="42"/>
      <c r="E662" s="41" t="s">
        <v>1928</v>
      </c>
      <c r="F662" s="1">
        <v>1</v>
      </c>
      <c r="G662" s="1">
        <f t="shared" si="63"/>
        <v>47</v>
      </c>
      <c r="H662" s="1" t="str">
        <f t="shared" si="64"/>
        <v>insert into catInformation select 1277,'Cargo Contacto  2a. Referencia Comercial Tipo 3',0,1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41"/>
      <c r="B663" s="41"/>
      <c r="C663" s="41"/>
      <c r="D663" s="42"/>
      <c r="E663" s="4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41">
        <v>1281</v>
      </c>
      <c r="B664" s="41" t="s">
        <v>1929</v>
      </c>
      <c r="C664" s="41" t="s">
        <v>1930</v>
      </c>
      <c r="D664" s="42"/>
      <c r="E664" s="41" t="s">
        <v>1931</v>
      </c>
      <c r="F664" s="1">
        <v>1</v>
      </c>
      <c r="G664" s="1">
        <f t="shared" ref="G664:G670" si="65">LEN(C664)</f>
        <v>44</v>
      </c>
      <c r="H664" s="1" t="str">
        <f t="shared" ref="H664:H670" si="66">CONCATENATE("insert into catInformation select ",A664,",'",C664,"',0,",F664)</f>
        <v>insert into catInformation select 1281,'Nombre de la 3a. Referencia Comercial Tipo 3',0,1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41">
        <v>1282</v>
      </c>
      <c r="B665" s="41" t="s">
        <v>1932</v>
      </c>
      <c r="C665" s="41" t="s">
        <v>1933</v>
      </c>
      <c r="D665" s="42"/>
      <c r="E665" s="41" t="s">
        <v>1934</v>
      </c>
      <c r="F665" s="1">
        <v>1</v>
      </c>
      <c r="G665" s="1">
        <f t="shared" si="65"/>
        <v>49</v>
      </c>
      <c r="H665" s="1" t="str">
        <f t="shared" si="66"/>
        <v>insert into catInformation select 1282,'Cuenta/ref. de la 3a. Referencia Comercial Tipo 3',0,1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41">
        <v>1283</v>
      </c>
      <c r="B666" s="41" t="s">
        <v>1935</v>
      </c>
      <c r="C666" s="41" t="s">
        <v>1936</v>
      </c>
      <c r="D666" s="42"/>
      <c r="E666" s="41" t="s">
        <v>1937</v>
      </c>
      <c r="F666" s="1">
        <v>2</v>
      </c>
      <c r="G666" s="1">
        <f t="shared" si="65"/>
        <v>43</v>
      </c>
      <c r="H666" s="1" t="str">
        <f t="shared" si="66"/>
        <v>insert into catInformation select 1283,'Monto de la 3a. Referencia Comercial Tipo 3',0,2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41">
        <v>1284</v>
      </c>
      <c r="B667" s="41" t="s">
        <v>1938</v>
      </c>
      <c r="C667" s="41" t="s">
        <v>1939</v>
      </c>
      <c r="D667" s="42"/>
      <c r="E667" s="41" t="s">
        <v>1940</v>
      </c>
      <c r="F667" s="1">
        <v>2</v>
      </c>
      <c r="G667" s="1">
        <f t="shared" si="65"/>
        <v>43</v>
      </c>
      <c r="H667" s="1" t="str">
        <f t="shared" si="66"/>
        <v>insert into catInformation select 1284,'Saldo de la 3a. Referencia Comercial Tipo 3',0,2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41">
        <v>1285</v>
      </c>
      <c r="B668" s="41" t="s">
        <v>1941</v>
      </c>
      <c r="C668" s="41" t="s">
        <v>1942</v>
      </c>
      <c r="D668" s="42"/>
      <c r="E668" s="41" t="s">
        <v>1943</v>
      </c>
      <c r="F668" s="1">
        <v>1</v>
      </c>
      <c r="G668" s="1">
        <f t="shared" si="65"/>
        <v>41</v>
      </c>
      <c r="H668" s="1" t="str">
        <f t="shared" si="66"/>
        <v>insert into catInformation select 1285,'Telefono  3a. Referencia Comercial Tipo 3',0,1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41">
        <v>1286</v>
      </c>
      <c r="B669" s="41" t="s">
        <v>1944</v>
      </c>
      <c r="C669" s="41" t="s">
        <v>1945</v>
      </c>
      <c r="D669" s="42"/>
      <c r="E669" s="41" t="s">
        <v>1946</v>
      </c>
      <c r="F669" s="1">
        <v>1</v>
      </c>
      <c r="G669" s="1">
        <f t="shared" si="65"/>
        <v>47</v>
      </c>
      <c r="H669" s="1" t="str">
        <f t="shared" si="66"/>
        <v>insert into catInformation select 1286,'Nombre Contacto 3a. Referencia Comercial Tipo 3',0,1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41">
        <v>1287</v>
      </c>
      <c r="B670" s="41" t="s">
        <v>1947</v>
      </c>
      <c r="C670" s="41" t="s">
        <v>1948</v>
      </c>
      <c r="D670" s="42"/>
      <c r="E670" s="41" t="s">
        <v>1949</v>
      </c>
      <c r="F670" s="1">
        <v>1</v>
      </c>
      <c r="G670" s="1">
        <f t="shared" si="65"/>
        <v>47</v>
      </c>
      <c r="H670" s="1" t="str">
        <f t="shared" si="66"/>
        <v>insert into catInformation select 1287,'Cargo Contacto  3a. Referencia Comercial Tipo 3',0,1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41"/>
      <c r="B671" s="41"/>
      <c r="C671" s="41"/>
      <c r="D671" s="42"/>
      <c r="E671" s="4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41">
        <v>1291</v>
      </c>
      <c r="B672" s="41" t="s">
        <v>1950</v>
      </c>
      <c r="C672" s="41" t="s">
        <v>1951</v>
      </c>
      <c r="D672" s="42"/>
      <c r="E672" s="41" t="s">
        <v>1952</v>
      </c>
      <c r="F672" s="1">
        <v>1</v>
      </c>
      <c r="G672" s="1">
        <f t="shared" ref="G672:G678" si="67">LEN(C672)</f>
        <v>44</v>
      </c>
      <c r="H672" s="1" t="str">
        <f t="shared" ref="H672:H678" si="68">CONCATENATE("insert into catInformation select ",A672,",'",C672,"',0,",F672)</f>
        <v>insert into catInformation select 1291,'Nombre de la 4a. Referencia Comercial Tipo 3',0,1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41">
        <v>1292</v>
      </c>
      <c r="B673" s="41" t="s">
        <v>1953</v>
      </c>
      <c r="C673" s="41" t="s">
        <v>1954</v>
      </c>
      <c r="D673" s="42"/>
      <c r="E673" s="41" t="s">
        <v>1955</v>
      </c>
      <c r="F673" s="1">
        <v>1</v>
      </c>
      <c r="G673" s="1">
        <f t="shared" si="67"/>
        <v>49</v>
      </c>
      <c r="H673" s="1" t="str">
        <f t="shared" si="68"/>
        <v>insert into catInformation select 1292,'Cuenta/ref. de la 4a. Referencia Comercial Tipo 3',0,1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41">
        <v>1293</v>
      </c>
      <c r="B674" s="41" t="s">
        <v>1956</v>
      </c>
      <c r="C674" s="41" t="s">
        <v>1957</v>
      </c>
      <c r="D674" s="42"/>
      <c r="E674" s="41" t="s">
        <v>1958</v>
      </c>
      <c r="F674" s="1">
        <v>2</v>
      </c>
      <c r="G674" s="1">
        <f t="shared" si="67"/>
        <v>43</v>
      </c>
      <c r="H674" s="1" t="str">
        <f t="shared" si="68"/>
        <v>insert into catInformation select 1293,'Monto de la 4a. Referencia Comercial Tipo 3',0,2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41">
        <v>1294</v>
      </c>
      <c r="B675" s="41" t="s">
        <v>1959</v>
      </c>
      <c r="C675" s="41" t="s">
        <v>1960</v>
      </c>
      <c r="D675" s="42"/>
      <c r="E675" s="41" t="s">
        <v>1961</v>
      </c>
      <c r="F675" s="1">
        <v>2</v>
      </c>
      <c r="G675" s="1">
        <f t="shared" si="67"/>
        <v>43</v>
      </c>
      <c r="H675" s="1" t="str">
        <f t="shared" si="68"/>
        <v>insert into catInformation select 1294,'Saldo de la 4a. Referencia Comercial Tipo 3',0,2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41">
        <v>1295</v>
      </c>
      <c r="B676" s="41" t="s">
        <v>1962</v>
      </c>
      <c r="C676" s="41" t="s">
        <v>1963</v>
      </c>
      <c r="D676" s="42"/>
      <c r="E676" s="41" t="s">
        <v>1964</v>
      </c>
      <c r="F676" s="1">
        <v>1</v>
      </c>
      <c r="G676" s="1">
        <f t="shared" si="67"/>
        <v>41</v>
      </c>
      <c r="H676" s="1" t="str">
        <f t="shared" si="68"/>
        <v>insert into catInformation select 1295,'Telefono  4a. Referencia Comercial Tipo 3',0,1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41">
        <v>1296</v>
      </c>
      <c r="B677" s="41" t="s">
        <v>1965</v>
      </c>
      <c r="C677" s="41" t="s">
        <v>1966</v>
      </c>
      <c r="D677" s="42"/>
      <c r="E677" s="41" t="s">
        <v>1967</v>
      </c>
      <c r="F677" s="1">
        <v>1</v>
      </c>
      <c r="G677" s="1">
        <f t="shared" si="67"/>
        <v>47</v>
      </c>
      <c r="H677" s="1" t="str">
        <f t="shared" si="68"/>
        <v>insert into catInformation select 1296,'Nombre Contacto 4a. Referencia Comercial Tipo 3',0,1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41">
        <v>1297</v>
      </c>
      <c r="B678" s="41" t="s">
        <v>1968</v>
      </c>
      <c r="C678" s="41" t="s">
        <v>1969</v>
      </c>
      <c r="D678" s="42"/>
      <c r="E678" s="41" t="s">
        <v>1970</v>
      </c>
      <c r="F678" s="1">
        <v>1</v>
      </c>
      <c r="G678" s="1">
        <f t="shared" si="67"/>
        <v>47</v>
      </c>
      <c r="H678" s="1" t="str">
        <f t="shared" si="68"/>
        <v>insert into catInformation select 1297,'Cargo Contacto  4a. Referencia Comercial Tipo 3',0,1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41"/>
      <c r="B679" s="41"/>
      <c r="C679" s="41"/>
      <c r="D679" s="42"/>
      <c r="E679" s="4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41"/>
      <c r="B680" s="41"/>
      <c r="C680" s="41"/>
      <c r="D680" s="42"/>
      <c r="E680" s="4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41"/>
      <c r="B681" s="41"/>
      <c r="C681" s="41"/>
      <c r="D681" s="42"/>
      <c r="E681" s="4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41"/>
      <c r="B682" s="41"/>
      <c r="C682" s="41"/>
      <c r="D682" s="42"/>
      <c r="E682" s="4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41">
        <v>1301</v>
      </c>
      <c r="B683" s="41" t="s">
        <v>1971</v>
      </c>
      <c r="C683" s="41" t="s">
        <v>1972</v>
      </c>
      <c r="D683" s="42"/>
      <c r="E683" s="41" t="s">
        <v>1973</v>
      </c>
      <c r="F683" s="1">
        <v>2</v>
      </c>
      <c r="G683" s="1">
        <f t="shared" ref="G683:G703" si="69">LEN(C683)</f>
        <v>35</v>
      </c>
      <c r="H683" s="1" t="str">
        <f t="shared" ref="H683:H703" si="70">CONCATENATE("insert into catInformation select ",A683,",'",C683,"',0,",F683)</f>
        <v>insert into catInformation select 1301,'Valor del Activo o Garantia Natural',0,2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41">
        <v>1302</v>
      </c>
      <c r="B684" s="41" t="s">
        <v>1974</v>
      </c>
      <c r="C684" s="41" t="s">
        <v>1975</v>
      </c>
      <c r="D684" s="42"/>
      <c r="E684" s="41" t="s">
        <v>1976</v>
      </c>
      <c r="F684" s="1">
        <v>2</v>
      </c>
      <c r="G684" s="1">
        <f t="shared" si="69"/>
        <v>43</v>
      </c>
      <c r="H684" s="1" t="str">
        <f t="shared" si="70"/>
        <v>insert into catInformation select 1302,'Valor del Activo o Garantia Natural Sin IVA',0,2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41">
        <v>1303</v>
      </c>
      <c r="B685" s="41" t="s">
        <v>1977</v>
      </c>
      <c r="C685" s="41" t="s">
        <v>1978</v>
      </c>
      <c r="D685" s="42"/>
      <c r="E685" s="41" t="s">
        <v>1979</v>
      </c>
      <c r="F685" s="1">
        <v>2</v>
      </c>
      <c r="G685" s="1">
        <f t="shared" si="69"/>
        <v>43</v>
      </c>
      <c r="H685" s="1" t="str">
        <f t="shared" si="70"/>
        <v>insert into catInformation select 1303,'IVA del Valor del Activo o Garantia Natural',0,2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41">
        <v>1304</v>
      </c>
      <c r="B686" s="41" t="s">
        <v>1980</v>
      </c>
      <c r="C686" s="41" t="s">
        <v>1981</v>
      </c>
      <c r="D686" s="42"/>
      <c r="E686" s="41" t="s">
        <v>1982</v>
      </c>
      <c r="F686" s="1">
        <v>1</v>
      </c>
      <c r="G686" s="1">
        <f t="shared" si="69"/>
        <v>28</v>
      </c>
      <c r="H686" s="1" t="str">
        <f t="shared" si="70"/>
        <v>insert into catInformation select 1304,'Garantia Natural (Condicion)',0,1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41">
        <v>1305</v>
      </c>
      <c r="B687" s="41" t="s">
        <v>1983</v>
      </c>
      <c r="C687" s="41" t="s">
        <v>1984</v>
      </c>
      <c r="D687" s="42"/>
      <c r="E687" s="41" t="s">
        <v>1985</v>
      </c>
      <c r="F687" s="1">
        <v>1</v>
      </c>
      <c r="G687" s="1">
        <f t="shared" si="69"/>
        <v>37</v>
      </c>
      <c r="H687" s="1" t="str">
        <f t="shared" si="70"/>
        <v>insert into catInformation select 1305,'Etiqueta Garantia Natural (Condicion)',0,1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41">
        <v>1306</v>
      </c>
      <c r="B688" s="41" t="s">
        <v>1986</v>
      </c>
      <c r="C688" s="41" t="s">
        <v>1987</v>
      </c>
      <c r="D688" s="42"/>
      <c r="E688" s="41" t="s">
        <v>1988</v>
      </c>
      <c r="F688" s="1">
        <v>1</v>
      </c>
      <c r="G688" s="1">
        <f t="shared" si="69"/>
        <v>27</v>
      </c>
      <c r="H688" s="1" t="str">
        <f t="shared" si="70"/>
        <v>insert into catInformation select 1306,'Especificaciones del Equipo',0,1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41">
        <v>1307</v>
      </c>
      <c r="B689" s="41" t="s">
        <v>1989</v>
      </c>
      <c r="C689" s="41" t="s">
        <v>1990</v>
      </c>
      <c r="D689" s="42"/>
      <c r="E689" s="41" t="s">
        <v>1991</v>
      </c>
      <c r="F689" s="1">
        <v>1</v>
      </c>
      <c r="G689" s="1">
        <f t="shared" si="69"/>
        <v>27</v>
      </c>
      <c r="H689" s="1" t="str">
        <f t="shared" si="70"/>
        <v>insert into catInformation select 1307,'Capacidad de Pago Solicitud',0,1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41">
        <v>1308</v>
      </c>
      <c r="B690" s="41" t="s">
        <v>1992</v>
      </c>
      <c r="C690" s="41" t="s">
        <v>1993</v>
      </c>
      <c r="D690" s="42"/>
      <c r="E690" s="41" t="s">
        <v>1994</v>
      </c>
      <c r="F690" s="1">
        <v>1</v>
      </c>
      <c r="G690" s="1">
        <f t="shared" si="69"/>
        <v>33</v>
      </c>
      <c r="H690" s="1" t="str">
        <f t="shared" si="70"/>
        <v>insert into catInformation select 1308,'Forma de Pago del Seguro del Bien',0,1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41">
        <v>1309</v>
      </c>
      <c r="B691" s="41" t="s">
        <v>1995</v>
      </c>
      <c r="C691" s="41" t="s">
        <v>1996</v>
      </c>
      <c r="D691" s="42"/>
      <c r="E691" s="41" t="s">
        <v>1997</v>
      </c>
      <c r="F691" s="1">
        <v>1</v>
      </c>
      <c r="G691" s="1">
        <f t="shared" si="69"/>
        <v>45</v>
      </c>
      <c r="H691" s="1" t="str">
        <f t="shared" si="70"/>
        <v>insert into catInformation select 1309,'Etiqueta de Forma de Pago del Seguro del Bien',0,1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41">
        <v>1310</v>
      </c>
      <c r="B692" s="41" t="s">
        <v>1998</v>
      </c>
      <c r="C692" s="41" t="s">
        <v>1999</v>
      </c>
      <c r="D692" s="42"/>
      <c r="E692" s="41" t="s">
        <v>2000</v>
      </c>
      <c r="F692" s="1">
        <v>1</v>
      </c>
      <c r="G692" s="1">
        <f t="shared" si="69"/>
        <v>41</v>
      </c>
      <c r="H692" s="1" t="str">
        <f t="shared" si="70"/>
        <v>insert into catInformation select 1310,'Modelo de Producto de la Garantia Natural',0,1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41">
        <v>1311</v>
      </c>
      <c r="B693" s="41" t="s">
        <v>2001</v>
      </c>
      <c r="C693" s="41" t="s">
        <v>2002</v>
      </c>
      <c r="D693" s="42"/>
      <c r="E693" s="41" t="s">
        <v>2003</v>
      </c>
      <c r="F693" s="1">
        <v>1</v>
      </c>
      <c r="G693" s="1">
        <f t="shared" si="69"/>
        <v>28</v>
      </c>
      <c r="H693" s="1" t="str">
        <f t="shared" si="70"/>
        <v>insert into catInformation select 1311,'Marca de la Garantia Natural',0,1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41">
        <v>1312</v>
      </c>
      <c r="B694" s="41" t="s">
        <v>2004</v>
      </c>
      <c r="C694" s="41" t="s">
        <v>2005</v>
      </c>
      <c r="D694" s="42"/>
      <c r="E694" s="41" t="s">
        <v>2006</v>
      </c>
      <c r="F694" s="1">
        <v>1</v>
      </c>
      <c r="G694" s="1">
        <f t="shared" si="69"/>
        <v>40</v>
      </c>
      <c r="H694" s="1" t="str">
        <f t="shared" si="70"/>
        <v>insert into catInformation select 1312,'Grupo de Producto de la Garantia Natural',0,1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41">
        <v>1313</v>
      </c>
      <c r="B695" s="41" t="s">
        <v>2007</v>
      </c>
      <c r="C695" s="41" t="s">
        <v>2008</v>
      </c>
      <c r="D695" s="42"/>
      <c r="E695" s="41" t="s">
        <v>2009</v>
      </c>
      <c r="F695" s="1">
        <v>1</v>
      </c>
      <c r="G695" s="1">
        <f t="shared" si="69"/>
        <v>43</v>
      </c>
      <c r="H695" s="1" t="str">
        <f t="shared" si="70"/>
        <v>insert into catInformation select 1313,'Descripcion Producto de la Garantia Natural',0,1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41">
        <v>1314</v>
      </c>
      <c r="B696" s="41" t="s">
        <v>2010</v>
      </c>
      <c r="C696" s="41" t="s">
        <v>2011</v>
      </c>
      <c r="D696" s="42"/>
      <c r="E696" s="41" t="s">
        <v>2012</v>
      </c>
      <c r="F696" s="1">
        <v>1</v>
      </c>
      <c r="G696" s="1">
        <f t="shared" si="69"/>
        <v>45</v>
      </c>
      <c r="H696" s="1" t="str">
        <f t="shared" si="70"/>
        <v>insert into catInformation select 1314,'Año Modelo de Producto de la Garantia Natural',0,1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41">
        <v>1315</v>
      </c>
      <c r="B697" s="41" t="s">
        <v>2013</v>
      </c>
      <c r="C697" s="41" t="s">
        <v>2014</v>
      </c>
      <c r="D697" s="42"/>
      <c r="E697" s="41" t="s">
        <v>2015</v>
      </c>
      <c r="F697" s="1">
        <v>1</v>
      </c>
      <c r="G697" s="1">
        <f t="shared" si="69"/>
        <v>44</v>
      </c>
      <c r="H697" s="1" t="str">
        <f t="shared" si="70"/>
        <v>insert into catInformation select 1315,'Numero Serie Producto de la Garantia Natural',0,1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41">
        <v>1316</v>
      </c>
      <c r="B698" s="41" t="s">
        <v>2016</v>
      </c>
      <c r="C698" s="41" t="s">
        <v>2017</v>
      </c>
      <c r="D698" s="42"/>
      <c r="E698" s="41" t="s">
        <v>2018</v>
      </c>
      <c r="F698" s="1">
        <v>1</v>
      </c>
      <c r="G698" s="1">
        <f t="shared" si="69"/>
        <v>44</v>
      </c>
      <c r="H698" s="1" t="str">
        <f t="shared" si="70"/>
        <v>insert into catInformation select 1316,'Numero Motor Producto de la Garantia Natural',0,1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41">
        <v>1317</v>
      </c>
      <c r="B699" s="41" t="s">
        <v>2019</v>
      </c>
      <c r="C699" s="41" t="s">
        <v>2020</v>
      </c>
      <c r="D699" s="42"/>
      <c r="E699" s="41" t="s">
        <v>2021</v>
      </c>
      <c r="F699" s="1">
        <v>1</v>
      </c>
      <c r="G699" s="1">
        <f t="shared" si="69"/>
        <v>49</v>
      </c>
      <c r="H699" s="1" t="str">
        <f t="shared" si="70"/>
        <v>insert into catInformation select 1317,'Placas o Licencia Producto de la Garantia Natural',0,1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41">
        <v>1318</v>
      </c>
      <c r="B700" s="41" t="s">
        <v>2022</v>
      </c>
      <c r="C700" s="41" t="s">
        <v>2023</v>
      </c>
      <c r="D700" s="42"/>
      <c r="E700" s="41" t="s">
        <v>2024</v>
      </c>
      <c r="F700" s="1">
        <v>1</v>
      </c>
      <c r="G700" s="1">
        <f t="shared" si="69"/>
        <v>46</v>
      </c>
      <c r="H700" s="1" t="str">
        <f t="shared" si="70"/>
        <v>insert into catInformation select 1318,'Color Exterior Producto de la Garantia Natural',0,1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41">
        <v>1319</v>
      </c>
      <c r="B701" s="41" t="s">
        <v>2025</v>
      </c>
      <c r="C701" s="41" t="s">
        <v>2026</v>
      </c>
      <c r="D701" s="42"/>
      <c r="E701" s="41" t="s">
        <v>2027</v>
      </c>
      <c r="F701" s="1">
        <v>1</v>
      </c>
      <c r="G701" s="1">
        <f t="shared" si="69"/>
        <v>46</v>
      </c>
      <c r="H701" s="1" t="str">
        <f t="shared" si="70"/>
        <v>insert into catInformation select 1319,'Color Interior Producto de la Garantia Natural',0,1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41">
        <v>1320</v>
      </c>
      <c r="B702" s="41" t="s">
        <v>2028</v>
      </c>
      <c r="C702" s="41" t="s">
        <v>2029</v>
      </c>
      <c r="D702" s="42"/>
      <c r="E702" s="41" t="s">
        <v>2030</v>
      </c>
      <c r="F702" s="1">
        <v>1</v>
      </c>
      <c r="G702" s="1">
        <f t="shared" si="69"/>
        <v>48</v>
      </c>
      <c r="H702" s="1" t="str">
        <f t="shared" si="70"/>
        <v>insert into catInformation select 1320,'Kilometraje Autorizado Producto Garantia Natural',0,1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41">
        <v>1321</v>
      </c>
      <c r="B703" s="41" t="s">
        <v>2031</v>
      </c>
      <c r="C703" s="41" t="s">
        <v>2032</v>
      </c>
      <c r="D703" s="42"/>
      <c r="E703" s="41" t="s">
        <v>2033</v>
      </c>
      <c r="F703" s="1">
        <v>1</v>
      </c>
      <c r="G703" s="1">
        <f t="shared" si="69"/>
        <v>46</v>
      </c>
      <c r="H703" s="1" t="str">
        <f t="shared" si="70"/>
        <v>insert into catInformation select 1321,'Frecuencia Distancia Producto Garantia Natural',0,1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41"/>
      <c r="B704" s="41"/>
      <c r="C704" s="41"/>
      <c r="D704" s="42"/>
      <c r="E704" s="4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41"/>
      <c r="B705" s="41"/>
      <c r="C705" s="41"/>
      <c r="D705" s="42"/>
      <c r="E705" s="4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41">
        <v>1350</v>
      </c>
      <c r="B706" s="41" t="s">
        <v>2034</v>
      </c>
      <c r="C706" s="41" t="s">
        <v>2035</v>
      </c>
      <c r="D706" s="42"/>
      <c r="E706" s="41" t="s">
        <v>2036</v>
      </c>
      <c r="F706" s="1">
        <v>1</v>
      </c>
      <c r="G706" s="1">
        <f t="shared" ref="G706:G711" si="71">LEN(C706)</f>
        <v>15</v>
      </c>
      <c r="H706" s="1" t="str">
        <f t="shared" ref="H706:H711" si="72">CONCATENATE("insert into catInformation select ",A706,",'",C706,"',0,",F706)</f>
        <v>insert into catInformation select 1350,'Tipo de Credito',0,1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41">
        <v>1351</v>
      </c>
      <c r="B707" s="41" t="s">
        <v>2037</v>
      </c>
      <c r="C707" s="41" t="s">
        <v>2038</v>
      </c>
      <c r="D707" s="42"/>
      <c r="E707" s="41" t="s">
        <v>2039</v>
      </c>
      <c r="F707" s="1">
        <v>1</v>
      </c>
      <c r="G707" s="1">
        <f t="shared" si="71"/>
        <v>27</v>
      </c>
      <c r="H707" s="1" t="str">
        <f t="shared" si="72"/>
        <v>insert into catInformation select 1351,'Etiqueta de Tipo de Credito',0,1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41">
        <v>1352</v>
      </c>
      <c r="B708" s="41" t="s">
        <v>2040</v>
      </c>
      <c r="C708" s="41" t="s">
        <v>2041</v>
      </c>
      <c r="D708" s="42"/>
      <c r="E708" s="41"/>
      <c r="F708" s="1">
        <v>1</v>
      </c>
      <c r="G708" s="1">
        <f t="shared" si="71"/>
        <v>10</v>
      </c>
      <c r="H708" s="1" t="str">
        <f t="shared" si="72"/>
        <v>insert into catInformation select 1352,'Delegacion',0,1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41">
        <v>1353</v>
      </c>
      <c r="B709" s="41" t="s">
        <v>2042</v>
      </c>
      <c r="C709" s="41" t="s">
        <v>2043</v>
      </c>
      <c r="D709" s="42"/>
      <c r="E709" s="41" t="s">
        <v>2044</v>
      </c>
      <c r="F709" s="1">
        <v>1</v>
      </c>
      <c r="G709" s="1">
        <f t="shared" si="71"/>
        <v>28</v>
      </c>
      <c r="H709" s="1" t="str">
        <f t="shared" si="72"/>
        <v>insert into catInformation select 1353,'Clave Tipo de Financiamiento',0,1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41">
        <v>1354</v>
      </c>
      <c r="B710" s="41" t="s">
        <v>2045</v>
      </c>
      <c r="C710" s="41" t="s">
        <v>2046</v>
      </c>
      <c r="D710" s="42"/>
      <c r="E710" s="41" t="s">
        <v>2047</v>
      </c>
      <c r="F710" s="1">
        <v>1</v>
      </c>
      <c r="G710" s="1">
        <f t="shared" si="71"/>
        <v>34</v>
      </c>
      <c r="H710" s="1" t="str">
        <f t="shared" si="72"/>
        <v>insert into catInformation select 1354,'Descripcion Tipo de Financiamiento',0,1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41">
        <v>1355</v>
      </c>
      <c r="B711" s="41" t="s">
        <v>2048</v>
      </c>
      <c r="C711" s="41" t="s">
        <v>2049</v>
      </c>
      <c r="D711" s="42"/>
      <c r="E711" s="41" t="s">
        <v>2050</v>
      </c>
      <c r="F711" s="1">
        <v>2</v>
      </c>
      <c r="G711" s="1">
        <f t="shared" si="71"/>
        <v>53</v>
      </c>
      <c r="H711" s="1" t="str">
        <f t="shared" si="72"/>
        <v>insert into catInformation select 1355,'Número de Créditos de la Persona (Historial - Ciclos)',0,2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41"/>
      <c r="B712" s="41"/>
      <c r="C712" s="41"/>
      <c r="D712" s="42"/>
      <c r="E712" s="4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43">
        <v>1357</v>
      </c>
      <c r="B713" s="43" t="s">
        <v>2051</v>
      </c>
      <c r="C713" s="43" t="s">
        <v>2052</v>
      </c>
      <c r="D713" s="44"/>
      <c r="E713" s="43" t="s">
        <v>2053</v>
      </c>
      <c r="F713" s="17">
        <v>1</v>
      </c>
      <c r="G713" s="17">
        <f t="shared" ref="G713:G714" si="73">LEN(C713)</f>
        <v>43</v>
      </c>
      <c r="H713" s="17" t="str">
        <f t="shared" ref="H713:H714" si="74">CONCATENATE("insert into catInformation select ",A713,",'",C713,"',0,",F713)</f>
        <v>insert into catInformation select 1357,'Fecha de Nacimiento de la Persona en Letras',0,1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4">
        <v>1358</v>
      </c>
      <c r="B714" s="14" t="s">
        <v>2054</v>
      </c>
      <c r="C714" s="14" t="s">
        <v>2055</v>
      </c>
      <c r="D714" s="16"/>
      <c r="E714" s="14" t="s">
        <v>2056</v>
      </c>
      <c r="F714" s="17">
        <v>1</v>
      </c>
      <c r="G714" s="17">
        <f t="shared" si="73"/>
        <v>77</v>
      </c>
      <c r="H714" s="17" t="str">
        <f t="shared" si="74"/>
        <v>insert into catInformation select 1358,'Numero de cuenta Bancaria (CLABE interna) para usarse con STP en Yo Te Presto',0,1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41"/>
      <c r="B715" s="41"/>
      <c r="C715" s="41"/>
      <c r="D715" s="42"/>
      <c r="E715" s="4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41">
        <v>1401</v>
      </c>
      <c r="B716" s="41" t="s">
        <v>2057</v>
      </c>
      <c r="C716" s="41" t="s">
        <v>2058</v>
      </c>
      <c r="D716" s="42"/>
      <c r="E716" s="41" t="s">
        <v>2059</v>
      </c>
      <c r="F716" s="1">
        <v>2</v>
      </c>
      <c r="G716" s="1">
        <f t="shared" ref="G716:G754" si="75">LEN(C716)</f>
        <v>37</v>
      </c>
      <c r="H716" s="1" t="str">
        <f t="shared" ref="H716:H749" si="76">CONCATENATE("insert into catInformation select ",A716,",'",C716,"',0,",F716)</f>
        <v>insert into catInformation select 1401,'Valor de la Renta Normal del Contrato',0,2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41">
        <v>1402</v>
      </c>
      <c r="B717" s="41" t="s">
        <v>2060</v>
      </c>
      <c r="C717" s="41" t="s">
        <v>2061</v>
      </c>
      <c r="D717" s="42"/>
      <c r="E717" s="41" t="s">
        <v>2062</v>
      </c>
      <c r="F717" s="1">
        <v>2</v>
      </c>
      <c r="G717" s="1">
        <f t="shared" si="75"/>
        <v>25</v>
      </c>
      <c r="H717" s="1" t="str">
        <f t="shared" si="76"/>
        <v>insert into catInformation select 1402,'Valor de la Renta Sin IVA',0,2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41">
        <v>1403</v>
      </c>
      <c r="B718" s="41" t="s">
        <v>2063</v>
      </c>
      <c r="C718" s="41" t="s">
        <v>2064</v>
      </c>
      <c r="D718" s="42"/>
      <c r="E718" s="41" t="s">
        <v>2065</v>
      </c>
      <c r="F718" s="1">
        <v>2</v>
      </c>
      <c r="G718" s="1">
        <f t="shared" si="75"/>
        <v>15</v>
      </c>
      <c r="H718" s="1" t="str">
        <f t="shared" si="76"/>
        <v>insert into catInformation select 1403,'IVA de la Renta',0,2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41">
        <v>1404</v>
      </c>
      <c r="B719" s="41" t="s">
        <v>2066</v>
      </c>
      <c r="C719" s="41" t="s">
        <v>2067</v>
      </c>
      <c r="D719" s="42"/>
      <c r="E719" s="41" t="s">
        <v>2068</v>
      </c>
      <c r="F719" s="1">
        <v>2</v>
      </c>
      <c r="G719" s="1">
        <f t="shared" si="75"/>
        <v>38</v>
      </c>
      <c r="H719" s="1" t="str">
        <f t="shared" si="76"/>
        <v>insert into catInformation select 1404,'Valor de la Primera Renta del Contrato',0,2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41">
        <v>1405</v>
      </c>
      <c r="B720" s="41" t="s">
        <v>2069</v>
      </c>
      <c r="C720" s="41" t="s">
        <v>2070</v>
      </c>
      <c r="D720" s="42"/>
      <c r="E720" s="41" t="s">
        <v>2071</v>
      </c>
      <c r="F720" s="1">
        <v>2</v>
      </c>
      <c r="G720" s="1">
        <f t="shared" si="75"/>
        <v>33</v>
      </c>
      <c r="H720" s="1" t="str">
        <f t="shared" si="76"/>
        <v>insert into catInformation select 1405,'Valor de la Primera Renta Sin IVA',0,2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41">
        <v>1406</v>
      </c>
      <c r="B721" s="41" t="s">
        <v>2072</v>
      </c>
      <c r="C721" s="41" t="s">
        <v>2073</v>
      </c>
      <c r="D721" s="42"/>
      <c r="E721" s="41" t="s">
        <v>2074</v>
      </c>
      <c r="F721" s="1">
        <v>2</v>
      </c>
      <c r="G721" s="1">
        <f t="shared" si="75"/>
        <v>23</v>
      </c>
      <c r="H721" s="1" t="str">
        <f t="shared" si="76"/>
        <v>insert into catInformation select 1406,'IVA de la Primera Renta',0,2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41">
        <v>1407</v>
      </c>
      <c r="B722" s="41" t="s">
        <v>2075</v>
      </c>
      <c r="C722" s="41" t="s">
        <v>2076</v>
      </c>
      <c r="D722" s="42"/>
      <c r="E722" s="41" t="s">
        <v>2077</v>
      </c>
      <c r="F722" s="1">
        <v>2</v>
      </c>
      <c r="G722" s="1">
        <f t="shared" si="75"/>
        <v>31</v>
      </c>
      <c r="H722" s="1" t="str">
        <f t="shared" si="76"/>
        <v>insert into catInformation select 1407,'Importe de Comision de Apertura',0,2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41">
        <v>1408</v>
      </c>
      <c r="B723" s="41" t="s">
        <v>2078</v>
      </c>
      <c r="C723" s="41" t="s">
        <v>2079</v>
      </c>
      <c r="D723" s="42"/>
      <c r="E723" s="41" t="s">
        <v>2080</v>
      </c>
      <c r="F723" s="1">
        <v>2</v>
      </c>
      <c r="G723" s="1">
        <f t="shared" si="75"/>
        <v>39</v>
      </c>
      <c r="H723" s="1" t="str">
        <f t="shared" si="76"/>
        <v>insert into catInformation select 1408,'Importe de Comision de Apertura sin IVA',0,2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41">
        <v>1409</v>
      </c>
      <c r="B724" s="41" t="s">
        <v>2081</v>
      </c>
      <c r="C724" s="41" t="s">
        <v>2082</v>
      </c>
      <c r="D724" s="42"/>
      <c r="E724" s="41" t="s">
        <v>2083</v>
      </c>
      <c r="F724" s="1">
        <v>2</v>
      </c>
      <c r="G724" s="1">
        <f t="shared" si="75"/>
        <v>30</v>
      </c>
      <c r="H724" s="1" t="str">
        <f t="shared" si="76"/>
        <v>insert into catInformation select 1409,'IVA de la Comision de Apertura',0,2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41">
        <v>1410</v>
      </c>
      <c r="B725" s="41" t="s">
        <v>2084</v>
      </c>
      <c r="C725" s="41" t="s">
        <v>2085</v>
      </c>
      <c r="D725" s="42"/>
      <c r="E725" s="41" t="s">
        <v>2086</v>
      </c>
      <c r="F725" s="1">
        <v>2</v>
      </c>
      <c r="G725" s="1">
        <f t="shared" si="75"/>
        <v>29</v>
      </c>
      <c r="H725" s="1" t="str">
        <f t="shared" si="76"/>
        <v>insert into catInformation select 1410,'Valor de la Renta en Deposito',0,2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41">
        <v>1411</v>
      </c>
      <c r="B726" s="41" t="s">
        <v>2087</v>
      </c>
      <c r="C726" s="41" t="s">
        <v>2088</v>
      </c>
      <c r="D726" s="42"/>
      <c r="E726" s="41" t="s">
        <v>2089</v>
      </c>
      <c r="F726" s="1">
        <v>2</v>
      </c>
      <c r="G726" s="1">
        <f t="shared" si="75"/>
        <v>37</v>
      </c>
      <c r="H726" s="1" t="str">
        <f t="shared" si="76"/>
        <v>insert into catInformation select 1411,'Valor de la Renta en Deposito Sin IVA',0,2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41">
        <v>1412</v>
      </c>
      <c r="B727" s="41" t="s">
        <v>2090</v>
      </c>
      <c r="C727" s="41" t="s">
        <v>2091</v>
      </c>
      <c r="D727" s="42"/>
      <c r="E727" s="41" t="s">
        <v>2092</v>
      </c>
      <c r="F727" s="1">
        <v>2</v>
      </c>
      <c r="G727" s="1">
        <f t="shared" si="75"/>
        <v>27</v>
      </c>
      <c r="H727" s="1" t="str">
        <f t="shared" si="76"/>
        <v>insert into catInformation select 1412,'IVA de la Renta en Deposito',0,2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41">
        <v>1413</v>
      </c>
      <c r="B728" s="41" t="s">
        <v>2093</v>
      </c>
      <c r="C728" s="41" t="s">
        <v>2094</v>
      </c>
      <c r="D728" s="42"/>
      <c r="E728" s="41" t="s">
        <v>2095</v>
      </c>
      <c r="F728" s="1">
        <v>2</v>
      </c>
      <c r="G728" s="1">
        <f t="shared" si="75"/>
        <v>25</v>
      </c>
      <c r="H728" s="1" t="str">
        <f t="shared" si="76"/>
        <v>insert into catInformation select 1413,'Valor del Seguro del Bien',0,2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41">
        <v>1414</v>
      </c>
      <c r="B729" s="41" t="s">
        <v>2096</v>
      </c>
      <c r="C729" s="41" t="s">
        <v>2097</v>
      </c>
      <c r="D729" s="42"/>
      <c r="E729" s="41" t="s">
        <v>2098</v>
      </c>
      <c r="F729" s="1">
        <v>2</v>
      </c>
      <c r="G729" s="1">
        <f t="shared" si="75"/>
        <v>33</v>
      </c>
      <c r="H729" s="1" t="str">
        <f t="shared" si="76"/>
        <v>insert into catInformation select 1414,'Valor del Seguro del Bien Sin IVA',0,2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41">
        <v>1415</v>
      </c>
      <c r="B730" s="41" t="s">
        <v>2099</v>
      </c>
      <c r="C730" s="41" t="s">
        <v>2100</v>
      </c>
      <c r="D730" s="42"/>
      <c r="E730" s="41" t="s">
        <v>2101</v>
      </c>
      <c r="F730" s="1">
        <v>2</v>
      </c>
      <c r="G730" s="1">
        <f t="shared" si="75"/>
        <v>23</v>
      </c>
      <c r="H730" s="1" t="str">
        <f t="shared" si="76"/>
        <v>insert into catInformation select 1415,'IVA del Seguro del Bien',0,2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41">
        <v>1416</v>
      </c>
      <c r="B731" s="41" t="s">
        <v>2102</v>
      </c>
      <c r="C731" s="41" t="s">
        <v>2103</v>
      </c>
      <c r="D731" s="42"/>
      <c r="E731" s="41" t="s">
        <v>2104</v>
      </c>
      <c r="F731" s="1">
        <v>2</v>
      </c>
      <c r="G731" s="1">
        <f t="shared" si="75"/>
        <v>26</v>
      </c>
      <c r="H731" s="1" t="str">
        <f t="shared" si="76"/>
        <v>insert into catInformation select 1416,'Valor de Placas y Tenencia',0,2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41">
        <v>1417</v>
      </c>
      <c r="B732" s="41" t="s">
        <v>2105</v>
      </c>
      <c r="C732" s="41" t="s">
        <v>2106</v>
      </c>
      <c r="D732" s="42"/>
      <c r="E732" s="41" t="s">
        <v>2107</v>
      </c>
      <c r="F732" s="1">
        <v>2</v>
      </c>
      <c r="G732" s="1">
        <f t="shared" si="75"/>
        <v>34</v>
      </c>
      <c r="H732" s="1" t="str">
        <f t="shared" si="76"/>
        <v>insert into catInformation select 1417,'Valor de Placas y Tenencia Sin IVA',0,2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41">
        <v>1418</v>
      </c>
      <c r="B733" s="41" t="s">
        <v>2108</v>
      </c>
      <c r="C733" s="41" t="s">
        <v>2109</v>
      </c>
      <c r="D733" s="42"/>
      <c r="E733" s="41" t="s">
        <v>2110</v>
      </c>
      <c r="F733" s="1">
        <v>2</v>
      </c>
      <c r="G733" s="1">
        <f t="shared" si="75"/>
        <v>24</v>
      </c>
      <c r="H733" s="1" t="str">
        <f t="shared" si="76"/>
        <v>insert into catInformation select 1418,'IVA de Placas y Tenencia',0,2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41">
        <v>1419</v>
      </c>
      <c r="B734" s="41" t="s">
        <v>2111</v>
      </c>
      <c r="C734" s="41" t="s">
        <v>2112</v>
      </c>
      <c r="D734" s="42"/>
      <c r="E734" s="41" t="s">
        <v>2113</v>
      </c>
      <c r="F734" s="1">
        <v>2</v>
      </c>
      <c r="G734" s="1">
        <f t="shared" si="75"/>
        <v>32</v>
      </c>
      <c r="H734" s="1" t="str">
        <f t="shared" si="76"/>
        <v>insert into catInformation select 1419,'Valor de Verificacion y Gestoria',0,2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41">
        <v>1420</v>
      </c>
      <c r="B735" s="41" t="s">
        <v>2114</v>
      </c>
      <c r="C735" s="41" t="s">
        <v>2115</v>
      </c>
      <c r="D735" s="42"/>
      <c r="E735" s="41" t="s">
        <v>2116</v>
      </c>
      <c r="F735" s="1">
        <v>2</v>
      </c>
      <c r="G735" s="1">
        <f t="shared" si="75"/>
        <v>40</v>
      </c>
      <c r="H735" s="1" t="str">
        <f t="shared" si="76"/>
        <v>insert into catInformation select 1420,'Valor de Verificacion y Gestoria Sin IVA',0,2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41">
        <v>1421</v>
      </c>
      <c r="B736" s="41" t="s">
        <v>2117</v>
      </c>
      <c r="C736" s="41" t="s">
        <v>2118</v>
      </c>
      <c r="D736" s="42"/>
      <c r="E736" s="41" t="s">
        <v>2119</v>
      </c>
      <c r="F736" s="1">
        <v>2</v>
      </c>
      <c r="G736" s="1">
        <f t="shared" si="75"/>
        <v>30</v>
      </c>
      <c r="H736" s="1" t="str">
        <f t="shared" si="76"/>
        <v>insert into catInformation select 1421,'IVA de Verificacion y Gestoria',0,2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41">
        <v>1422</v>
      </c>
      <c r="B737" s="41" t="s">
        <v>2120</v>
      </c>
      <c r="C737" s="41" t="s">
        <v>2121</v>
      </c>
      <c r="D737" s="42"/>
      <c r="E737" s="41" t="s">
        <v>2122</v>
      </c>
      <c r="F737" s="1">
        <v>2</v>
      </c>
      <c r="G737" s="1">
        <f t="shared" si="75"/>
        <v>43</v>
      </c>
      <c r="H737" s="1" t="str">
        <f t="shared" si="76"/>
        <v>insert into catInformation select 1422,'Valor Anticipo a Rentas (Deposito Garantia)',0,2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41">
        <v>1423</v>
      </c>
      <c r="B738" s="41" t="s">
        <v>2123</v>
      </c>
      <c r="C738" s="41" t="s">
        <v>2124</v>
      </c>
      <c r="D738" s="42"/>
      <c r="E738" s="41" t="s">
        <v>2125</v>
      </c>
      <c r="F738" s="1">
        <v>2</v>
      </c>
      <c r="G738" s="1">
        <f t="shared" si="75"/>
        <v>31</v>
      </c>
      <c r="H738" s="1" t="str">
        <f t="shared" si="76"/>
        <v>insert into catInformation select 1423,'Valor Anticipo a Rentas Sin IVA',0,2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41">
        <v>1424</v>
      </c>
      <c r="B739" s="41" t="s">
        <v>2126</v>
      </c>
      <c r="C739" s="41" t="s">
        <v>2127</v>
      </c>
      <c r="D739" s="42"/>
      <c r="E739" s="41" t="s">
        <v>2128</v>
      </c>
      <c r="F739" s="1">
        <v>2</v>
      </c>
      <c r="G739" s="1">
        <f t="shared" si="75"/>
        <v>24</v>
      </c>
      <c r="H739" s="1" t="str">
        <f t="shared" si="76"/>
        <v>insert into catInformation select 1424,'IVA de Anticipo a Rentas',0,2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41">
        <v>1425</v>
      </c>
      <c r="B740" s="41" t="s">
        <v>2129</v>
      </c>
      <c r="C740" s="41" t="s">
        <v>2130</v>
      </c>
      <c r="D740" s="42"/>
      <c r="E740" s="41" t="s">
        <v>2131</v>
      </c>
      <c r="F740" s="1">
        <v>2</v>
      </c>
      <c r="G740" s="1">
        <f t="shared" si="75"/>
        <v>23</v>
      </c>
      <c r="H740" s="1" t="str">
        <f t="shared" si="76"/>
        <v>insert into catInformation select 1425,'Valor Total a Financiar',0,2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41">
        <v>1426</v>
      </c>
      <c r="B741" s="41" t="s">
        <v>2132</v>
      </c>
      <c r="C741" s="41" t="s">
        <v>2133</v>
      </c>
      <c r="D741" s="42"/>
      <c r="E741" s="41" t="s">
        <v>2134</v>
      </c>
      <c r="F741" s="1">
        <v>2</v>
      </c>
      <c r="G741" s="1">
        <f t="shared" si="75"/>
        <v>31</v>
      </c>
      <c r="H741" s="1" t="str">
        <f t="shared" si="76"/>
        <v>insert into catInformation select 1426,'Valor Total a Financiar Sin IVA',0,2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41">
        <v>1427</v>
      </c>
      <c r="B742" s="41" t="s">
        <v>2135</v>
      </c>
      <c r="C742" s="41" t="s">
        <v>2136</v>
      </c>
      <c r="D742" s="42"/>
      <c r="E742" s="41" t="s">
        <v>2137</v>
      </c>
      <c r="F742" s="1">
        <v>2</v>
      </c>
      <c r="G742" s="1">
        <f t="shared" si="75"/>
        <v>25</v>
      </c>
      <c r="H742" s="1" t="str">
        <f t="shared" si="76"/>
        <v>insert into catInformation select 1427,'IVA del Total a Financiar',0,2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41">
        <v>1428</v>
      </c>
      <c r="B743" s="41" t="s">
        <v>2138</v>
      </c>
      <c r="C743" s="41" t="s">
        <v>2139</v>
      </c>
      <c r="D743" s="42"/>
      <c r="E743" s="41" t="s">
        <v>2140</v>
      </c>
      <c r="F743" s="1">
        <v>2</v>
      </c>
      <c r="G743" s="1">
        <f t="shared" si="75"/>
        <v>24</v>
      </c>
      <c r="H743" s="1" t="str">
        <f t="shared" si="76"/>
        <v>insert into catInformation select 1428,'Valor Total del Residual',0,2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41">
        <v>1429</v>
      </c>
      <c r="B744" s="41" t="s">
        <v>2141</v>
      </c>
      <c r="C744" s="41" t="s">
        <v>2142</v>
      </c>
      <c r="D744" s="42"/>
      <c r="E744" s="41" t="s">
        <v>2143</v>
      </c>
      <c r="F744" s="1">
        <v>2</v>
      </c>
      <c r="G744" s="1">
        <f t="shared" si="75"/>
        <v>22</v>
      </c>
      <c r="H744" s="1" t="str">
        <f t="shared" si="76"/>
        <v>insert into catInformation select 1429,'Valor Residual Sin IVA',0,2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41">
        <v>1430</v>
      </c>
      <c r="B745" s="41" t="s">
        <v>2144</v>
      </c>
      <c r="C745" s="41" t="s">
        <v>2145</v>
      </c>
      <c r="D745" s="42"/>
      <c r="E745" s="41" t="s">
        <v>2146</v>
      </c>
      <c r="F745" s="1">
        <v>2</v>
      </c>
      <c r="G745" s="1">
        <f t="shared" si="75"/>
        <v>22</v>
      </c>
      <c r="H745" s="1" t="str">
        <f t="shared" si="76"/>
        <v>insert into catInformation select 1430,'IVA del Valor Residual',0,2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41">
        <v>1431</v>
      </c>
      <c r="B746" s="41" t="s">
        <v>2147</v>
      </c>
      <c r="C746" s="41" t="s">
        <v>2148</v>
      </c>
      <c r="D746" s="42"/>
      <c r="E746" s="41" t="s">
        <v>2149</v>
      </c>
      <c r="F746" s="1">
        <v>1</v>
      </c>
      <c r="G746" s="1">
        <f t="shared" si="75"/>
        <v>34</v>
      </c>
      <c r="H746" s="1" t="str">
        <f t="shared" si="76"/>
        <v>insert into catInformation select 1431,'Valor Total del Residual en Letras',0,1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41">
        <v>1432</v>
      </c>
      <c r="B747" s="41" t="s">
        <v>2150</v>
      </c>
      <c r="C747" s="41" t="s">
        <v>2151</v>
      </c>
      <c r="D747" s="42"/>
      <c r="E747" s="41" t="s">
        <v>2152</v>
      </c>
      <c r="F747" s="1">
        <v>1</v>
      </c>
      <c r="G747" s="1">
        <f t="shared" si="75"/>
        <v>29</v>
      </c>
      <c r="H747" s="1" t="str">
        <f t="shared" si="76"/>
        <v>insert into catInformation select 1432,'Fecha de Vencimiento Residual',0,1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41">
        <v>1433</v>
      </c>
      <c r="B748" s="41" t="s">
        <v>2153</v>
      </c>
      <c r="C748" s="41" t="s">
        <v>2154</v>
      </c>
      <c r="D748" s="42"/>
      <c r="E748" s="41" t="s">
        <v>2155</v>
      </c>
      <c r="F748" s="1">
        <v>1</v>
      </c>
      <c r="G748" s="1">
        <f t="shared" si="75"/>
        <v>34</v>
      </c>
      <c r="H748" s="1" t="str">
        <f t="shared" si="76"/>
        <v>insert into catInformation select 1433,'Fecha de Vencimiento Primera Renta',0,1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45">
        <v>1434</v>
      </c>
      <c r="B749" s="45" t="s">
        <v>2156</v>
      </c>
      <c r="C749" s="41" t="s">
        <v>2157</v>
      </c>
      <c r="D749" s="42"/>
      <c r="E749" s="41" t="s">
        <v>2158</v>
      </c>
      <c r="F749" s="34">
        <v>1</v>
      </c>
      <c r="G749" s="1">
        <f t="shared" si="75"/>
        <v>50</v>
      </c>
      <c r="H749" s="1" t="str">
        <f t="shared" si="76"/>
        <v>insert into catInformation select 1434,'Suma todos los pagos del credito.  M.Pagare letras',0,1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45">
        <v>1435</v>
      </c>
      <c r="B750" s="45" t="s">
        <v>2159</v>
      </c>
      <c r="C750" s="41" t="s">
        <v>2160</v>
      </c>
      <c r="D750" s="42"/>
      <c r="E750" s="41"/>
      <c r="F750" s="34"/>
      <c r="G750" s="1">
        <f t="shared" si="75"/>
        <v>48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41">
        <v>1436</v>
      </c>
      <c r="B751" s="41" t="s">
        <v>2161</v>
      </c>
      <c r="C751" s="41" t="s">
        <v>2162</v>
      </c>
      <c r="D751" s="42"/>
      <c r="E751" s="41"/>
      <c r="F751" s="1"/>
      <c r="G751" s="1">
        <f t="shared" si="75"/>
        <v>50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41">
        <v>1437</v>
      </c>
      <c r="B752" s="41" t="s">
        <v>2163</v>
      </c>
      <c r="C752" s="41" t="s">
        <v>2164</v>
      </c>
      <c r="D752" s="42"/>
      <c r="E752" s="41"/>
      <c r="F752" s="1"/>
      <c r="G752" s="1">
        <f t="shared" si="75"/>
        <v>50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41">
        <v>1438</v>
      </c>
      <c r="B753" s="41" t="s">
        <v>2165</v>
      </c>
      <c r="C753" s="41" t="s">
        <v>2166</v>
      </c>
      <c r="D753" s="42"/>
      <c r="E753" s="41"/>
      <c r="F753" s="1"/>
      <c r="G753" s="1">
        <f t="shared" si="75"/>
        <v>23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41">
        <v>1441</v>
      </c>
      <c r="B754" s="41" t="s">
        <v>2167</v>
      </c>
      <c r="C754" s="41" t="s">
        <v>2168</v>
      </c>
      <c r="D754" s="42"/>
      <c r="E754" s="41" t="s">
        <v>2169</v>
      </c>
      <c r="F754" s="1">
        <v>2</v>
      </c>
      <c r="G754" s="1">
        <f t="shared" si="75"/>
        <v>40</v>
      </c>
      <c r="H754" s="1" t="str">
        <f>CONCATENATE("insert into catInformation select ",A754,",'",C754,"',0,",F754)</f>
        <v>insert into catInformation select 1441,'Cobertura de garantia (Valor del Activo)',0,2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41"/>
      <c r="B755" s="41"/>
      <c r="C755" s="41"/>
      <c r="D755" s="42"/>
      <c r="E755" s="4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43">
        <v>1450</v>
      </c>
      <c r="B756" s="43" t="s">
        <v>2170</v>
      </c>
      <c r="C756" s="43" t="s">
        <v>2171</v>
      </c>
      <c r="D756" s="44"/>
      <c r="E756" s="43" t="s">
        <v>2172</v>
      </c>
      <c r="F756" s="17">
        <v>2</v>
      </c>
      <c r="G756" s="17">
        <f t="shared" ref="G756:G758" si="77">LEN(C756)</f>
        <v>62</v>
      </c>
      <c r="H756" s="17" t="str">
        <f t="shared" ref="H756:H758" si="78">CONCATENATE("insert into catInformation select ",A756,",'",C756,"',0,",F756)</f>
        <v>insert into catInformation select 1450,'Monto del Credito menos Importe de Comision de Apertura Numero',0,2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43">
        <v>1451</v>
      </c>
      <c r="B757" s="43" t="s">
        <v>2173</v>
      </c>
      <c r="C757" s="43" t="s">
        <v>2174</v>
      </c>
      <c r="D757" s="44"/>
      <c r="E757" s="43" t="s">
        <v>2175</v>
      </c>
      <c r="F757" s="17">
        <v>2</v>
      </c>
      <c r="G757" s="17">
        <f t="shared" si="77"/>
        <v>28</v>
      </c>
      <c r="H757" s="17" t="str">
        <f t="shared" si="78"/>
        <v>insert into catInformation select 1451,'Tasa de Comision de Apertura',0,2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43">
        <v>1452</v>
      </c>
      <c r="B758" s="43" t="s">
        <v>2176</v>
      </c>
      <c r="C758" s="43" t="s">
        <v>2177</v>
      </c>
      <c r="D758" s="44"/>
      <c r="E758" s="43" t="s">
        <v>2178</v>
      </c>
      <c r="F758" s="17">
        <v>1</v>
      </c>
      <c r="G758" s="17">
        <f t="shared" si="77"/>
        <v>38</v>
      </c>
      <c r="H758" s="17" t="str">
        <f t="shared" si="78"/>
        <v>insert into catInformation select 1452,'Tasa de Comision de Apertura en Letras',0,1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46"/>
      <c r="B759" s="46"/>
      <c r="C759" s="46"/>
      <c r="D759" s="47"/>
      <c r="E759" s="46"/>
      <c r="F759" s="17"/>
      <c r="G759" s="17"/>
      <c r="H759" s="1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84" t="s">
        <v>2179</v>
      </c>
      <c r="B760" s="79"/>
      <c r="C760" s="42" t="s">
        <v>2180</v>
      </c>
      <c r="D760" s="42"/>
      <c r="E760" s="4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41"/>
      <c r="B761" s="41"/>
      <c r="C761" s="41"/>
      <c r="D761" s="42"/>
      <c r="E761" s="4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48">
        <v>1601</v>
      </c>
      <c r="B762" s="49" t="s">
        <v>2181</v>
      </c>
      <c r="C762" s="50" t="s">
        <v>2182</v>
      </c>
      <c r="D762" s="42"/>
      <c r="E762" s="4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48">
        <v>1602</v>
      </c>
      <c r="B763" s="49" t="s">
        <v>2183</v>
      </c>
      <c r="C763" s="50" t="s">
        <v>2184</v>
      </c>
      <c r="D763" s="42"/>
      <c r="E763" s="4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48">
        <v>1603</v>
      </c>
      <c r="B764" s="49" t="s">
        <v>2185</v>
      </c>
      <c r="C764" s="50" t="s">
        <v>2186</v>
      </c>
      <c r="D764" s="42"/>
      <c r="E764" s="4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48">
        <v>1604</v>
      </c>
      <c r="B765" s="49" t="s">
        <v>2187</v>
      </c>
      <c r="C765" s="50" t="s">
        <v>2188</v>
      </c>
      <c r="D765" s="42"/>
      <c r="E765" s="4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48">
        <v>1605</v>
      </c>
      <c r="B766" s="49" t="s">
        <v>2189</v>
      </c>
      <c r="C766" s="50" t="s">
        <v>2190</v>
      </c>
      <c r="D766" s="42"/>
      <c r="E766" s="4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48">
        <v>1606</v>
      </c>
      <c r="B767" s="49" t="s">
        <v>2191</v>
      </c>
      <c r="C767" s="50" t="s">
        <v>2192</v>
      </c>
      <c r="D767" s="42"/>
      <c r="E767" s="4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48">
        <v>1607</v>
      </c>
      <c r="B768" s="49" t="s">
        <v>2193</v>
      </c>
      <c r="C768" s="50" t="s">
        <v>2194</v>
      </c>
      <c r="D768" s="42"/>
      <c r="E768" s="4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48">
        <v>1608</v>
      </c>
      <c r="B769" s="49" t="s">
        <v>2195</v>
      </c>
      <c r="C769" s="50" t="s">
        <v>2196</v>
      </c>
      <c r="D769" s="42"/>
      <c r="E769" s="4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48">
        <v>1609</v>
      </c>
      <c r="B770" s="49" t="s">
        <v>2197</v>
      </c>
      <c r="C770" s="50" t="s">
        <v>2198</v>
      </c>
      <c r="D770" s="42"/>
      <c r="E770" s="4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48">
        <v>1610</v>
      </c>
      <c r="B771" s="49" t="s">
        <v>2199</v>
      </c>
      <c r="C771" s="50" t="s">
        <v>2200</v>
      </c>
      <c r="D771" s="42"/>
      <c r="E771" s="4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48">
        <v>1611</v>
      </c>
      <c r="B772" s="49" t="s">
        <v>2201</v>
      </c>
      <c r="C772" s="50" t="s">
        <v>2202</v>
      </c>
      <c r="D772" s="42"/>
      <c r="E772" s="4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48">
        <v>1612</v>
      </c>
      <c r="B773" s="49" t="s">
        <v>2203</v>
      </c>
      <c r="C773" s="50" t="s">
        <v>2204</v>
      </c>
      <c r="D773" s="42"/>
      <c r="E773" s="4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48">
        <v>1613</v>
      </c>
      <c r="B774" s="49" t="s">
        <v>2205</v>
      </c>
      <c r="C774" s="50" t="s">
        <v>2206</v>
      </c>
      <c r="D774" s="42"/>
      <c r="E774" s="4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48">
        <v>1614</v>
      </c>
      <c r="B775" s="49" t="s">
        <v>2207</v>
      </c>
      <c r="C775" s="50" t="s">
        <v>2208</v>
      </c>
      <c r="D775" s="42"/>
      <c r="E775" s="4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48">
        <v>1615</v>
      </c>
      <c r="B776" s="49" t="s">
        <v>2209</v>
      </c>
      <c r="C776" s="50" t="s">
        <v>2210</v>
      </c>
      <c r="D776" s="42"/>
      <c r="E776" s="4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48">
        <v>1616</v>
      </c>
      <c r="B777" s="49" t="s">
        <v>2211</v>
      </c>
      <c r="C777" s="50" t="s">
        <v>2212</v>
      </c>
      <c r="D777" s="42"/>
      <c r="E777" s="4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48">
        <v>1617</v>
      </c>
      <c r="B778" s="49" t="s">
        <v>2213</v>
      </c>
      <c r="C778" s="50" t="s">
        <v>2214</v>
      </c>
      <c r="D778" s="42"/>
      <c r="E778" s="4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48">
        <v>1618</v>
      </c>
      <c r="B779" s="49" t="s">
        <v>2215</v>
      </c>
      <c r="C779" s="50" t="s">
        <v>2216</v>
      </c>
      <c r="D779" s="42"/>
      <c r="E779" s="4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48">
        <v>1619</v>
      </c>
      <c r="B780" s="49" t="s">
        <v>2217</v>
      </c>
      <c r="C780" s="50" t="s">
        <v>2218</v>
      </c>
      <c r="D780" s="42"/>
      <c r="E780" s="4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48">
        <v>1620</v>
      </c>
      <c r="B781" s="49" t="s">
        <v>2219</v>
      </c>
      <c r="C781" s="50" t="s">
        <v>2220</v>
      </c>
      <c r="D781" s="42"/>
      <c r="E781" s="4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48">
        <v>1621</v>
      </c>
      <c r="B782" s="49" t="s">
        <v>2221</v>
      </c>
      <c r="C782" s="50" t="s">
        <v>2222</v>
      </c>
      <c r="D782" s="42"/>
      <c r="E782" s="4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48">
        <v>1622</v>
      </c>
      <c r="B783" s="49" t="s">
        <v>2223</v>
      </c>
      <c r="C783" s="50" t="s">
        <v>2224</v>
      </c>
      <c r="D783" s="42"/>
      <c r="E783" s="4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48">
        <v>1623</v>
      </c>
      <c r="B784" s="49" t="s">
        <v>2225</v>
      </c>
      <c r="C784" s="50" t="s">
        <v>2226</v>
      </c>
      <c r="D784" s="42"/>
      <c r="E784" s="4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48">
        <v>1624</v>
      </c>
      <c r="B785" s="49" t="s">
        <v>2227</v>
      </c>
      <c r="C785" s="50" t="s">
        <v>2228</v>
      </c>
      <c r="D785" s="42"/>
      <c r="E785" s="4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48">
        <v>1625</v>
      </c>
      <c r="B786" s="49" t="s">
        <v>2229</v>
      </c>
      <c r="C786" s="50" t="s">
        <v>2230</v>
      </c>
      <c r="D786" s="42"/>
      <c r="E786" s="4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48">
        <v>1626</v>
      </c>
      <c r="B787" s="49" t="s">
        <v>2231</v>
      </c>
      <c r="C787" s="50" t="s">
        <v>2232</v>
      </c>
      <c r="D787" s="42"/>
      <c r="E787" s="4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48">
        <v>1627</v>
      </c>
      <c r="B788" s="49" t="s">
        <v>2233</v>
      </c>
      <c r="C788" s="50" t="s">
        <v>2234</v>
      </c>
      <c r="D788" s="42"/>
      <c r="E788" s="4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48">
        <v>1628</v>
      </c>
      <c r="B789" s="49" t="s">
        <v>2235</v>
      </c>
      <c r="C789" s="50" t="s">
        <v>2236</v>
      </c>
      <c r="D789" s="42"/>
      <c r="E789" s="4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48">
        <v>1629</v>
      </c>
      <c r="B790" s="49" t="s">
        <v>2237</v>
      </c>
      <c r="C790" s="50" t="s">
        <v>2238</v>
      </c>
      <c r="D790" s="42"/>
      <c r="E790" s="4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48">
        <v>1630</v>
      </c>
      <c r="B791" s="49" t="s">
        <v>2239</v>
      </c>
      <c r="C791" s="50" t="s">
        <v>2240</v>
      </c>
      <c r="D791" s="42"/>
      <c r="E791" s="4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48">
        <v>1631</v>
      </c>
      <c r="B792" s="49" t="s">
        <v>2241</v>
      </c>
      <c r="C792" s="50" t="s">
        <v>2242</v>
      </c>
      <c r="D792" s="42"/>
      <c r="E792" s="4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48">
        <v>1632</v>
      </c>
      <c r="B793" s="49" t="s">
        <v>2243</v>
      </c>
      <c r="C793" s="50" t="s">
        <v>2244</v>
      </c>
      <c r="D793" s="42"/>
      <c r="E793" s="4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48">
        <v>1633</v>
      </c>
      <c r="B794" s="49" t="s">
        <v>2245</v>
      </c>
      <c r="C794" s="50" t="s">
        <v>2246</v>
      </c>
      <c r="D794" s="42"/>
      <c r="E794" s="4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48">
        <v>1634</v>
      </c>
      <c r="B795" s="49" t="s">
        <v>2247</v>
      </c>
      <c r="C795" s="50" t="s">
        <v>2248</v>
      </c>
      <c r="D795" s="42"/>
      <c r="E795" s="4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48">
        <v>1635</v>
      </c>
      <c r="B796" s="49" t="s">
        <v>2249</v>
      </c>
      <c r="C796" s="50" t="s">
        <v>2250</v>
      </c>
      <c r="D796" s="42"/>
      <c r="E796" s="4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48">
        <v>1636</v>
      </c>
      <c r="B797" s="49" t="s">
        <v>2251</v>
      </c>
      <c r="C797" s="50" t="s">
        <v>2252</v>
      </c>
      <c r="D797" s="42"/>
      <c r="E797" s="4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48">
        <v>1637</v>
      </c>
      <c r="B798" s="49" t="s">
        <v>2253</v>
      </c>
      <c r="C798" s="50" t="s">
        <v>2254</v>
      </c>
      <c r="D798" s="42"/>
      <c r="E798" s="4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48">
        <v>1638</v>
      </c>
      <c r="B799" s="49" t="s">
        <v>2255</v>
      </c>
      <c r="C799" s="50" t="s">
        <v>2256</v>
      </c>
      <c r="D799" s="42"/>
      <c r="E799" s="4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48">
        <v>1639</v>
      </c>
      <c r="B800" s="49" t="s">
        <v>2257</v>
      </c>
      <c r="C800" s="50" t="s">
        <v>2258</v>
      </c>
      <c r="D800" s="42"/>
      <c r="E800" s="4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48">
        <v>1640</v>
      </c>
      <c r="B801" s="49" t="s">
        <v>2259</v>
      </c>
      <c r="C801" s="50" t="s">
        <v>2260</v>
      </c>
      <c r="D801" s="42"/>
      <c r="E801" s="4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48"/>
      <c r="B802" s="49"/>
      <c r="C802" s="41"/>
      <c r="D802" s="42"/>
      <c r="E802" s="4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48">
        <v>1641</v>
      </c>
      <c r="B803" s="49" t="s">
        <v>2261</v>
      </c>
      <c r="C803" s="41" t="s">
        <v>2262</v>
      </c>
      <c r="D803" s="42"/>
      <c r="E803" s="4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48">
        <v>1642</v>
      </c>
      <c r="B804" s="49" t="s">
        <v>2263</v>
      </c>
      <c r="C804" s="41" t="s">
        <v>2264</v>
      </c>
      <c r="D804" s="42"/>
      <c r="E804" s="4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48">
        <v>1643</v>
      </c>
      <c r="B805" s="49" t="s">
        <v>2265</v>
      </c>
      <c r="C805" s="41" t="s">
        <v>2266</v>
      </c>
      <c r="D805" s="42"/>
      <c r="E805" s="4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48">
        <v>1644</v>
      </c>
      <c r="B806" s="49" t="s">
        <v>2267</v>
      </c>
      <c r="C806" s="41" t="s">
        <v>2268</v>
      </c>
      <c r="D806" s="42"/>
      <c r="E806" s="4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48">
        <v>1645</v>
      </c>
      <c r="B807" s="49" t="s">
        <v>2269</v>
      </c>
      <c r="C807" s="41" t="s">
        <v>2270</v>
      </c>
      <c r="D807" s="42"/>
      <c r="E807" s="4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48">
        <v>1646</v>
      </c>
      <c r="B808" s="49" t="s">
        <v>2271</v>
      </c>
      <c r="C808" s="41" t="s">
        <v>2272</v>
      </c>
      <c r="D808" s="42"/>
      <c r="E808" s="4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48">
        <v>1647</v>
      </c>
      <c r="B809" s="49" t="s">
        <v>2273</v>
      </c>
      <c r="C809" s="41" t="s">
        <v>2274</v>
      </c>
      <c r="D809" s="42"/>
      <c r="E809" s="4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48">
        <v>1648</v>
      </c>
      <c r="B810" s="49" t="s">
        <v>2275</v>
      </c>
      <c r="C810" s="41" t="s">
        <v>2276</v>
      </c>
      <c r="D810" s="42"/>
      <c r="E810" s="4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48">
        <v>1649</v>
      </c>
      <c r="B811" s="49" t="s">
        <v>2277</v>
      </c>
      <c r="C811" s="41" t="s">
        <v>2278</v>
      </c>
      <c r="D811" s="42"/>
      <c r="E811" s="4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48">
        <v>1650</v>
      </c>
      <c r="B812" s="49" t="s">
        <v>2279</v>
      </c>
      <c r="C812" s="41" t="s">
        <v>2280</v>
      </c>
      <c r="D812" s="42"/>
      <c r="E812" s="4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48">
        <v>1651</v>
      </c>
      <c r="B813" s="49" t="s">
        <v>2281</v>
      </c>
      <c r="C813" s="41" t="s">
        <v>2282</v>
      </c>
      <c r="D813" s="42"/>
      <c r="E813" s="4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48">
        <v>1652</v>
      </c>
      <c r="B814" s="49" t="s">
        <v>2283</v>
      </c>
      <c r="C814" s="41" t="s">
        <v>2284</v>
      </c>
      <c r="D814" s="42"/>
      <c r="E814" s="4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48">
        <v>1653</v>
      </c>
      <c r="B815" s="49" t="s">
        <v>2285</v>
      </c>
      <c r="C815" s="41" t="s">
        <v>2286</v>
      </c>
      <c r="D815" s="42"/>
      <c r="E815" s="4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48">
        <v>1654</v>
      </c>
      <c r="B816" s="49" t="s">
        <v>2287</v>
      </c>
      <c r="C816" s="41" t="s">
        <v>2288</v>
      </c>
      <c r="D816" s="42"/>
      <c r="E816" s="4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48">
        <v>1655</v>
      </c>
      <c r="B817" s="49" t="s">
        <v>2289</v>
      </c>
      <c r="C817" s="41" t="s">
        <v>2290</v>
      </c>
      <c r="D817" s="42"/>
      <c r="E817" s="4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48">
        <v>1656</v>
      </c>
      <c r="B818" s="49" t="s">
        <v>2291</v>
      </c>
      <c r="C818" s="41" t="s">
        <v>2292</v>
      </c>
      <c r="D818" s="42"/>
      <c r="E818" s="4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48">
        <v>1657</v>
      </c>
      <c r="B819" s="49" t="s">
        <v>2293</v>
      </c>
      <c r="C819" s="41" t="s">
        <v>2294</v>
      </c>
      <c r="D819" s="42"/>
      <c r="E819" s="4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48">
        <v>1658</v>
      </c>
      <c r="B820" s="49" t="s">
        <v>2295</v>
      </c>
      <c r="C820" s="41" t="s">
        <v>2296</v>
      </c>
      <c r="D820" s="42"/>
      <c r="E820" s="4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48">
        <v>1659</v>
      </c>
      <c r="B821" s="49" t="s">
        <v>2297</v>
      </c>
      <c r="C821" s="41" t="s">
        <v>2298</v>
      </c>
      <c r="D821" s="42"/>
      <c r="E821" s="4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48">
        <v>1660</v>
      </c>
      <c r="B822" s="49" t="s">
        <v>2299</v>
      </c>
      <c r="C822" s="41" t="s">
        <v>2300</v>
      </c>
      <c r="D822" s="42"/>
      <c r="E822" s="4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48">
        <v>1661</v>
      </c>
      <c r="B823" s="49" t="s">
        <v>2301</v>
      </c>
      <c r="C823" s="41" t="s">
        <v>2302</v>
      </c>
      <c r="D823" s="42"/>
      <c r="E823" s="4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48">
        <v>1662</v>
      </c>
      <c r="B824" s="49" t="s">
        <v>2303</v>
      </c>
      <c r="C824" s="41" t="s">
        <v>2304</v>
      </c>
      <c r="D824" s="42"/>
      <c r="E824" s="4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48">
        <v>1663</v>
      </c>
      <c r="B825" s="49" t="s">
        <v>2305</v>
      </c>
      <c r="C825" s="41" t="s">
        <v>2306</v>
      </c>
      <c r="D825" s="42"/>
      <c r="E825" s="4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48">
        <v>1664</v>
      </c>
      <c r="B826" s="49" t="s">
        <v>2307</v>
      </c>
      <c r="C826" s="41" t="s">
        <v>2308</v>
      </c>
      <c r="D826" s="42"/>
      <c r="E826" s="4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48">
        <v>1665</v>
      </c>
      <c r="B827" s="49" t="s">
        <v>2309</v>
      </c>
      <c r="C827" s="41" t="s">
        <v>2310</v>
      </c>
      <c r="D827" s="42"/>
      <c r="E827" s="4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48">
        <v>1666</v>
      </c>
      <c r="B828" s="49" t="s">
        <v>2311</v>
      </c>
      <c r="C828" s="41" t="s">
        <v>2312</v>
      </c>
      <c r="D828" s="42"/>
      <c r="E828" s="4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48">
        <v>1667</v>
      </c>
      <c r="B829" s="49" t="s">
        <v>2313</v>
      </c>
      <c r="C829" s="41" t="s">
        <v>2314</v>
      </c>
      <c r="D829" s="42"/>
      <c r="E829" s="4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48">
        <v>1668</v>
      </c>
      <c r="B830" s="49" t="s">
        <v>2315</v>
      </c>
      <c r="C830" s="41" t="s">
        <v>2316</v>
      </c>
      <c r="D830" s="42"/>
      <c r="E830" s="4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48">
        <v>1669</v>
      </c>
      <c r="B831" s="49" t="s">
        <v>2317</v>
      </c>
      <c r="C831" s="41" t="s">
        <v>2318</v>
      </c>
      <c r="D831" s="42"/>
      <c r="E831" s="4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48">
        <v>1670</v>
      </c>
      <c r="B832" s="49" t="s">
        <v>2319</v>
      </c>
      <c r="C832" s="41" t="s">
        <v>2320</v>
      </c>
      <c r="D832" s="42"/>
      <c r="E832" s="4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48">
        <v>1671</v>
      </c>
      <c r="B833" s="49" t="s">
        <v>2321</v>
      </c>
      <c r="C833" s="41" t="s">
        <v>2322</v>
      </c>
      <c r="D833" s="42"/>
      <c r="E833" s="4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48">
        <v>1672</v>
      </c>
      <c r="B834" s="49" t="s">
        <v>2323</v>
      </c>
      <c r="C834" s="41" t="s">
        <v>2324</v>
      </c>
      <c r="D834" s="42"/>
      <c r="E834" s="4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48">
        <v>1673</v>
      </c>
      <c r="B835" s="49" t="s">
        <v>2325</v>
      </c>
      <c r="C835" s="41" t="s">
        <v>2326</v>
      </c>
      <c r="D835" s="42"/>
      <c r="E835" s="4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48">
        <v>1674</v>
      </c>
      <c r="B836" s="49" t="s">
        <v>2327</v>
      </c>
      <c r="C836" s="41" t="s">
        <v>2328</v>
      </c>
      <c r="D836" s="42"/>
      <c r="E836" s="4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48">
        <v>1675</v>
      </c>
      <c r="B837" s="49" t="s">
        <v>2329</v>
      </c>
      <c r="C837" s="41" t="s">
        <v>2330</v>
      </c>
      <c r="D837" s="42"/>
      <c r="E837" s="4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48">
        <v>1676</v>
      </c>
      <c r="B838" s="49" t="s">
        <v>2331</v>
      </c>
      <c r="C838" s="41" t="s">
        <v>2332</v>
      </c>
      <c r="D838" s="42"/>
      <c r="E838" s="4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48">
        <v>1677</v>
      </c>
      <c r="B839" s="49" t="s">
        <v>2333</v>
      </c>
      <c r="C839" s="41" t="s">
        <v>2334</v>
      </c>
      <c r="D839" s="42"/>
      <c r="E839" s="4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48">
        <v>1678</v>
      </c>
      <c r="B840" s="49" t="s">
        <v>2335</v>
      </c>
      <c r="C840" s="41" t="s">
        <v>2336</v>
      </c>
      <c r="D840" s="42"/>
      <c r="E840" s="4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48">
        <v>1679</v>
      </c>
      <c r="B841" s="49" t="s">
        <v>2337</v>
      </c>
      <c r="C841" s="41" t="s">
        <v>2338</v>
      </c>
      <c r="D841" s="42"/>
      <c r="E841" s="4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48">
        <v>1680</v>
      </c>
      <c r="B842" s="49" t="s">
        <v>2339</v>
      </c>
      <c r="C842" s="41" t="s">
        <v>2340</v>
      </c>
      <c r="D842" s="42"/>
      <c r="E842" s="4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48"/>
      <c r="B843" s="49"/>
      <c r="C843" s="41"/>
      <c r="D843" s="42"/>
      <c r="E843" s="4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48">
        <v>1681</v>
      </c>
      <c r="B844" s="49" t="s">
        <v>2341</v>
      </c>
      <c r="C844" s="41" t="s">
        <v>2342</v>
      </c>
      <c r="D844" s="42"/>
      <c r="E844" s="4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48">
        <v>1682</v>
      </c>
      <c r="B845" s="49" t="s">
        <v>2343</v>
      </c>
      <c r="C845" s="41" t="s">
        <v>2344</v>
      </c>
      <c r="D845" s="42"/>
      <c r="E845" s="4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48">
        <v>1683</v>
      </c>
      <c r="B846" s="49" t="s">
        <v>2345</v>
      </c>
      <c r="C846" s="41" t="s">
        <v>2346</v>
      </c>
      <c r="D846" s="42"/>
      <c r="E846" s="4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48">
        <v>1684</v>
      </c>
      <c r="B847" s="49" t="s">
        <v>2347</v>
      </c>
      <c r="C847" s="41" t="s">
        <v>2348</v>
      </c>
      <c r="D847" s="42"/>
      <c r="E847" s="4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48">
        <v>1685</v>
      </c>
      <c r="B848" s="49" t="s">
        <v>2349</v>
      </c>
      <c r="C848" s="41" t="s">
        <v>2350</v>
      </c>
      <c r="D848" s="42"/>
      <c r="E848" s="4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48">
        <v>1686</v>
      </c>
      <c r="B849" s="49" t="s">
        <v>2351</v>
      </c>
      <c r="C849" s="41" t="s">
        <v>2352</v>
      </c>
      <c r="D849" s="42"/>
      <c r="E849" s="4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48">
        <v>1687</v>
      </c>
      <c r="B850" s="49" t="s">
        <v>2353</v>
      </c>
      <c r="C850" s="41" t="s">
        <v>2354</v>
      </c>
      <c r="D850" s="42"/>
      <c r="E850" s="4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48">
        <v>1688</v>
      </c>
      <c r="B851" s="49" t="s">
        <v>2355</v>
      </c>
      <c r="C851" s="41" t="s">
        <v>2356</v>
      </c>
      <c r="D851" s="42"/>
      <c r="E851" s="4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48">
        <v>1689</v>
      </c>
      <c r="B852" s="49" t="s">
        <v>2357</v>
      </c>
      <c r="C852" s="41" t="s">
        <v>2358</v>
      </c>
      <c r="D852" s="42"/>
      <c r="E852" s="4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48">
        <v>1690</v>
      </c>
      <c r="B853" s="49" t="s">
        <v>2359</v>
      </c>
      <c r="C853" s="41" t="s">
        <v>2360</v>
      </c>
      <c r="D853" s="42"/>
      <c r="E853" s="4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48">
        <v>1691</v>
      </c>
      <c r="B854" s="49" t="s">
        <v>2361</v>
      </c>
      <c r="C854" s="41" t="s">
        <v>2362</v>
      </c>
      <c r="D854" s="42"/>
      <c r="E854" s="4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48">
        <v>1692</v>
      </c>
      <c r="B855" s="49" t="s">
        <v>2363</v>
      </c>
      <c r="C855" s="41" t="s">
        <v>2364</v>
      </c>
      <c r="D855" s="42"/>
      <c r="E855" s="4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48">
        <v>1693</v>
      </c>
      <c r="B856" s="49" t="s">
        <v>2365</v>
      </c>
      <c r="C856" s="41" t="s">
        <v>2366</v>
      </c>
      <c r="D856" s="42"/>
      <c r="E856" s="4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48">
        <v>1694</v>
      </c>
      <c r="B857" s="49" t="s">
        <v>2367</v>
      </c>
      <c r="C857" s="41" t="s">
        <v>2368</v>
      </c>
      <c r="D857" s="42"/>
      <c r="E857" s="4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48">
        <v>1695</v>
      </c>
      <c r="B858" s="49" t="s">
        <v>2369</v>
      </c>
      <c r="C858" s="41" t="s">
        <v>2370</v>
      </c>
      <c r="D858" s="42"/>
      <c r="E858" s="4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48">
        <v>1696</v>
      </c>
      <c r="B859" s="49" t="s">
        <v>2371</v>
      </c>
      <c r="C859" s="41" t="s">
        <v>2372</v>
      </c>
      <c r="D859" s="42"/>
      <c r="E859" s="4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48">
        <v>1697</v>
      </c>
      <c r="B860" s="49" t="s">
        <v>2373</v>
      </c>
      <c r="C860" s="41" t="s">
        <v>2374</v>
      </c>
      <c r="D860" s="42"/>
      <c r="E860" s="4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48">
        <v>1698</v>
      </c>
      <c r="B861" s="49" t="s">
        <v>2375</v>
      </c>
      <c r="C861" s="41" t="s">
        <v>2376</v>
      </c>
      <c r="D861" s="42"/>
      <c r="E861" s="4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48">
        <v>1699</v>
      </c>
      <c r="B862" s="49" t="s">
        <v>2377</v>
      </c>
      <c r="C862" s="41" t="s">
        <v>2378</v>
      </c>
      <c r="D862" s="42"/>
      <c r="E862" s="4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48">
        <v>1700</v>
      </c>
      <c r="B863" s="49" t="s">
        <v>2379</v>
      </c>
      <c r="C863" s="41" t="s">
        <v>2380</v>
      </c>
      <c r="D863" s="42"/>
      <c r="E863" s="4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48">
        <v>1701</v>
      </c>
      <c r="B864" s="49" t="s">
        <v>2381</v>
      </c>
      <c r="C864" s="41" t="s">
        <v>2382</v>
      </c>
      <c r="D864" s="42"/>
      <c r="E864" s="4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48">
        <v>1702</v>
      </c>
      <c r="B865" s="49" t="s">
        <v>2383</v>
      </c>
      <c r="C865" s="41" t="s">
        <v>2384</v>
      </c>
      <c r="D865" s="42"/>
      <c r="E865" s="4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48">
        <v>1703</v>
      </c>
      <c r="B866" s="49" t="s">
        <v>2385</v>
      </c>
      <c r="C866" s="41" t="s">
        <v>2386</v>
      </c>
      <c r="D866" s="42"/>
      <c r="E866" s="4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48">
        <v>1704</v>
      </c>
      <c r="B867" s="49" t="s">
        <v>2387</v>
      </c>
      <c r="C867" s="41" t="s">
        <v>2388</v>
      </c>
      <c r="D867" s="42"/>
      <c r="E867" s="4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48">
        <v>1705</v>
      </c>
      <c r="B868" s="49" t="s">
        <v>2389</v>
      </c>
      <c r="C868" s="41" t="s">
        <v>2390</v>
      </c>
      <c r="D868" s="42"/>
      <c r="E868" s="4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48">
        <v>1706</v>
      </c>
      <c r="B869" s="49" t="s">
        <v>2391</v>
      </c>
      <c r="C869" s="41" t="s">
        <v>2392</v>
      </c>
      <c r="D869" s="42"/>
      <c r="E869" s="4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48">
        <v>1707</v>
      </c>
      <c r="B870" s="49" t="s">
        <v>2393</v>
      </c>
      <c r="C870" s="41" t="s">
        <v>2394</v>
      </c>
      <c r="D870" s="42"/>
      <c r="E870" s="4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48">
        <v>1708</v>
      </c>
      <c r="B871" s="49" t="s">
        <v>2395</v>
      </c>
      <c r="C871" s="41" t="s">
        <v>2396</v>
      </c>
      <c r="D871" s="42"/>
      <c r="E871" s="4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48">
        <v>1709</v>
      </c>
      <c r="B872" s="49" t="s">
        <v>2397</v>
      </c>
      <c r="C872" s="41" t="s">
        <v>2398</v>
      </c>
      <c r="D872" s="42"/>
      <c r="E872" s="4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48">
        <v>1710</v>
      </c>
      <c r="B873" s="49" t="s">
        <v>2399</v>
      </c>
      <c r="C873" s="41" t="s">
        <v>2400</v>
      </c>
      <c r="D873" s="42"/>
      <c r="E873" s="4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48">
        <v>1711</v>
      </c>
      <c r="B874" s="49" t="s">
        <v>2401</v>
      </c>
      <c r="C874" s="41" t="s">
        <v>2402</v>
      </c>
      <c r="D874" s="42"/>
      <c r="E874" s="4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48">
        <v>1712</v>
      </c>
      <c r="B875" s="49" t="s">
        <v>2403</v>
      </c>
      <c r="C875" s="41" t="s">
        <v>2404</v>
      </c>
      <c r="D875" s="42"/>
      <c r="E875" s="4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48">
        <v>1713</v>
      </c>
      <c r="B876" s="49" t="s">
        <v>2405</v>
      </c>
      <c r="C876" s="41" t="s">
        <v>2406</v>
      </c>
      <c r="D876" s="42"/>
      <c r="E876" s="4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48">
        <v>1714</v>
      </c>
      <c r="B877" s="49" t="s">
        <v>2407</v>
      </c>
      <c r="C877" s="41" t="s">
        <v>2408</v>
      </c>
      <c r="D877" s="42"/>
      <c r="E877" s="4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48">
        <v>1715</v>
      </c>
      <c r="B878" s="49" t="s">
        <v>2409</v>
      </c>
      <c r="C878" s="41" t="s">
        <v>2410</v>
      </c>
      <c r="D878" s="42"/>
      <c r="E878" s="4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48">
        <v>1716</v>
      </c>
      <c r="B879" s="49" t="s">
        <v>2411</v>
      </c>
      <c r="C879" s="41" t="s">
        <v>2412</v>
      </c>
      <c r="D879" s="42"/>
      <c r="E879" s="4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48">
        <v>1717</v>
      </c>
      <c r="B880" s="49" t="s">
        <v>2413</v>
      </c>
      <c r="C880" s="41" t="s">
        <v>2414</v>
      </c>
      <c r="D880" s="42"/>
      <c r="E880" s="4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48">
        <v>1718</v>
      </c>
      <c r="B881" s="49" t="s">
        <v>2415</v>
      </c>
      <c r="C881" s="41" t="s">
        <v>2416</v>
      </c>
      <c r="D881" s="42"/>
      <c r="E881" s="4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48">
        <v>1719</v>
      </c>
      <c r="B882" s="49" t="s">
        <v>2417</v>
      </c>
      <c r="C882" s="41" t="s">
        <v>2418</v>
      </c>
      <c r="D882" s="42"/>
      <c r="E882" s="4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48">
        <v>1720</v>
      </c>
      <c r="B883" s="49" t="s">
        <v>2419</v>
      </c>
      <c r="C883" s="41" t="s">
        <v>2420</v>
      </c>
      <c r="D883" s="42"/>
      <c r="E883" s="4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48"/>
      <c r="B884" s="49"/>
      <c r="C884" s="41"/>
      <c r="D884" s="42"/>
      <c r="E884" s="4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48">
        <v>1721</v>
      </c>
      <c r="B885" s="49" t="s">
        <v>2421</v>
      </c>
      <c r="C885" s="41" t="s">
        <v>2422</v>
      </c>
      <c r="D885" s="42"/>
      <c r="E885" s="4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48">
        <v>1722</v>
      </c>
      <c r="B886" s="49" t="s">
        <v>2423</v>
      </c>
      <c r="C886" s="41" t="s">
        <v>2424</v>
      </c>
      <c r="D886" s="42"/>
      <c r="E886" s="4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48">
        <v>1723</v>
      </c>
      <c r="B887" s="49" t="s">
        <v>2425</v>
      </c>
      <c r="C887" s="41" t="s">
        <v>2426</v>
      </c>
      <c r="D887" s="42"/>
      <c r="E887" s="4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48">
        <v>1724</v>
      </c>
      <c r="B888" s="49" t="s">
        <v>2427</v>
      </c>
      <c r="C888" s="41" t="s">
        <v>2428</v>
      </c>
      <c r="D888" s="42"/>
      <c r="E888" s="4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48">
        <v>1725</v>
      </c>
      <c r="B889" s="49" t="s">
        <v>2429</v>
      </c>
      <c r="C889" s="41" t="s">
        <v>2430</v>
      </c>
      <c r="D889" s="42"/>
      <c r="E889" s="4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48">
        <v>1726</v>
      </c>
      <c r="B890" s="49" t="s">
        <v>2431</v>
      </c>
      <c r="C890" s="41" t="s">
        <v>2432</v>
      </c>
      <c r="D890" s="42"/>
      <c r="E890" s="4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48">
        <v>1727</v>
      </c>
      <c r="B891" s="49" t="s">
        <v>2433</v>
      </c>
      <c r="C891" s="41" t="s">
        <v>2434</v>
      </c>
      <c r="D891" s="42"/>
      <c r="E891" s="4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48">
        <v>1728</v>
      </c>
      <c r="B892" s="49" t="s">
        <v>2435</v>
      </c>
      <c r="C892" s="41" t="s">
        <v>2436</v>
      </c>
      <c r="D892" s="42"/>
      <c r="E892" s="4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48">
        <v>1729</v>
      </c>
      <c r="B893" s="49" t="s">
        <v>2437</v>
      </c>
      <c r="C893" s="41" t="s">
        <v>2438</v>
      </c>
      <c r="D893" s="42"/>
      <c r="E893" s="4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48">
        <v>1730</v>
      </c>
      <c r="B894" s="49" t="s">
        <v>2439</v>
      </c>
      <c r="C894" s="41" t="s">
        <v>2440</v>
      </c>
      <c r="D894" s="42"/>
      <c r="E894" s="4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48">
        <v>1731</v>
      </c>
      <c r="B895" s="49" t="s">
        <v>2441</v>
      </c>
      <c r="C895" s="41" t="s">
        <v>2442</v>
      </c>
      <c r="D895" s="42"/>
      <c r="E895" s="4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48">
        <v>1732</v>
      </c>
      <c r="B896" s="49" t="s">
        <v>2443</v>
      </c>
      <c r="C896" s="41" t="s">
        <v>2444</v>
      </c>
      <c r="D896" s="42"/>
      <c r="E896" s="4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48">
        <v>1733</v>
      </c>
      <c r="B897" s="49" t="s">
        <v>2445</v>
      </c>
      <c r="C897" s="41" t="s">
        <v>2446</v>
      </c>
      <c r="D897" s="42"/>
      <c r="E897" s="4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48">
        <v>1734</v>
      </c>
      <c r="B898" s="49" t="s">
        <v>2447</v>
      </c>
      <c r="C898" s="41" t="s">
        <v>2448</v>
      </c>
      <c r="D898" s="42"/>
      <c r="E898" s="4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48">
        <v>1735</v>
      </c>
      <c r="B899" s="49" t="s">
        <v>2449</v>
      </c>
      <c r="C899" s="41" t="s">
        <v>2450</v>
      </c>
      <c r="D899" s="42"/>
      <c r="E899" s="4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48">
        <v>1736</v>
      </c>
      <c r="B900" s="49" t="s">
        <v>2451</v>
      </c>
      <c r="C900" s="41" t="s">
        <v>2452</v>
      </c>
      <c r="D900" s="42"/>
      <c r="E900" s="4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48">
        <v>1737</v>
      </c>
      <c r="B901" s="49" t="s">
        <v>2453</v>
      </c>
      <c r="C901" s="41" t="s">
        <v>2454</v>
      </c>
      <c r="D901" s="42"/>
      <c r="E901" s="4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48">
        <v>1738</v>
      </c>
      <c r="B902" s="49" t="s">
        <v>2455</v>
      </c>
      <c r="C902" s="41" t="s">
        <v>2456</v>
      </c>
      <c r="D902" s="42"/>
      <c r="E902" s="4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48">
        <v>1739</v>
      </c>
      <c r="B903" s="49" t="s">
        <v>2457</v>
      </c>
      <c r="C903" s="41" t="s">
        <v>2458</v>
      </c>
      <c r="D903" s="42"/>
      <c r="E903" s="4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48">
        <v>1740</v>
      </c>
      <c r="B904" s="49" t="s">
        <v>2459</v>
      </c>
      <c r="C904" s="41" t="s">
        <v>2460</v>
      </c>
      <c r="D904" s="42"/>
      <c r="E904" s="4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48">
        <v>1741</v>
      </c>
      <c r="B905" s="49" t="s">
        <v>2461</v>
      </c>
      <c r="C905" s="41" t="s">
        <v>2462</v>
      </c>
      <c r="D905" s="42"/>
      <c r="E905" s="4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48">
        <v>1742</v>
      </c>
      <c r="B906" s="49" t="s">
        <v>2463</v>
      </c>
      <c r="C906" s="41" t="s">
        <v>2464</v>
      </c>
      <c r="D906" s="42"/>
      <c r="E906" s="4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48">
        <v>1743</v>
      </c>
      <c r="B907" s="49" t="s">
        <v>2465</v>
      </c>
      <c r="C907" s="41" t="s">
        <v>2466</v>
      </c>
      <c r="D907" s="42"/>
      <c r="E907" s="4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48">
        <v>1744</v>
      </c>
      <c r="B908" s="49" t="s">
        <v>2467</v>
      </c>
      <c r="C908" s="41" t="s">
        <v>2468</v>
      </c>
      <c r="D908" s="42"/>
      <c r="E908" s="4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48">
        <v>1745</v>
      </c>
      <c r="B909" s="49" t="s">
        <v>2469</v>
      </c>
      <c r="C909" s="41" t="s">
        <v>2470</v>
      </c>
      <c r="D909" s="42"/>
      <c r="E909" s="4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48">
        <v>1746</v>
      </c>
      <c r="B910" s="49" t="s">
        <v>2471</v>
      </c>
      <c r="C910" s="41" t="s">
        <v>2472</v>
      </c>
      <c r="D910" s="42"/>
      <c r="E910" s="4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48">
        <v>1747</v>
      </c>
      <c r="B911" s="49" t="s">
        <v>2473</v>
      </c>
      <c r="C911" s="41" t="s">
        <v>2474</v>
      </c>
      <c r="D911" s="42"/>
      <c r="E911" s="4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48">
        <v>1748</v>
      </c>
      <c r="B912" s="49" t="s">
        <v>2475</v>
      </c>
      <c r="C912" s="41" t="s">
        <v>2476</v>
      </c>
      <c r="D912" s="42"/>
      <c r="E912" s="4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48">
        <v>1749</v>
      </c>
      <c r="B913" s="49" t="s">
        <v>2477</v>
      </c>
      <c r="C913" s="41" t="s">
        <v>2478</v>
      </c>
      <c r="D913" s="42"/>
      <c r="E913" s="4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48">
        <v>1750</v>
      </c>
      <c r="B914" s="49" t="s">
        <v>2479</v>
      </c>
      <c r="C914" s="41" t="s">
        <v>2480</v>
      </c>
      <c r="D914" s="42"/>
      <c r="E914" s="4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48">
        <v>1751</v>
      </c>
      <c r="B915" s="49" t="s">
        <v>2481</v>
      </c>
      <c r="C915" s="41" t="s">
        <v>2482</v>
      </c>
      <c r="D915" s="42"/>
      <c r="E915" s="4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48">
        <v>1752</v>
      </c>
      <c r="B916" s="49" t="s">
        <v>2483</v>
      </c>
      <c r="C916" s="41" t="s">
        <v>2484</v>
      </c>
      <c r="D916" s="42"/>
      <c r="E916" s="4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48">
        <v>1753</v>
      </c>
      <c r="B917" s="49" t="s">
        <v>2485</v>
      </c>
      <c r="C917" s="41" t="s">
        <v>2486</v>
      </c>
      <c r="D917" s="42"/>
      <c r="E917" s="4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48">
        <v>1754</v>
      </c>
      <c r="B918" s="49" t="s">
        <v>2487</v>
      </c>
      <c r="C918" s="41" t="s">
        <v>2488</v>
      </c>
      <c r="D918" s="42"/>
      <c r="E918" s="4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48">
        <v>1755</v>
      </c>
      <c r="B919" s="49" t="s">
        <v>2489</v>
      </c>
      <c r="C919" s="41" t="s">
        <v>2490</v>
      </c>
      <c r="D919" s="42"/>
      <c r="E919" s="4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48">
        <v>1756</v>
      </c>
      <c r="B920" s="49" t="s">
        <v>2491</v>
      </c>
      <c r="C920" s="41" t="s">
        <v>2492</v>
      </c>
      <c r="D920" s="42"/>
      <c r="E920" s="4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48">
        <v>1757</v>
      </c>
      <c r="B921" s="49" t="s">
        <v>2493</v>
      </c>
      <c r="C921" s="41" t="s">
        <v>2494</v>
      </c>
      <c r="D921" s="42"/>
      <c r="E921" s="4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48">
        <v>1758</v>
      </c>
      <c r="B922" s="49" t="s">
        <v>2495</v>
      </c>
      <c r="C922" s="41" t="s">
        <v>2496</v>
      </c>
      <c r="D922" s="42"/>
      <c r="E922" s="4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48">
        <v>1759</v>
      </c>
      <c r="B923" s="49" t="s">
        <v>2497</v>
      </c>
      <c r="C923" s="41" t="s">
        <v>2498</v>
      </c>
      <c r="D923" s="42"/>
      <c r="E923" s="4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48">
        <v>1760</v>
      </c>
      <c r="B924" s="49" t="s">
        <v>2499</v>
      </c>
      <c r="C924" s="41" t="s">
        <v>2500</v>
      </c>
      <c r="D924" s="42"/>
      <c r="E924" s="4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48">
        <v>1761</v>
      </c>
      <c r="B925" s="49" t="s">
        <v>2501</v>
      </c>
      <c r="C925" s="41" t="s">
        <v>2502</v>
      </c>
      <c r="D925" s="42"/>
      <c r="E925" s="4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48">
        <v>7162</v>
      </c>
      <c r="B926" s="49" t="s">
        <v>2503</v>
      </c>
      <c r="C926" s="41" t="s">
        <v>2504</v>
      </c>
      <c r="D926" s="42"/>
      <c r="E926" s="4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48">
        <v>7163</v>
      </c>
      <c r="B927" s="49" t="s">
        <v>2505</v>
      </c>
      <c r="C927" s="41" t="s">
        <v>2506</v>
      </c>
      <c r="D927" s="42"/>
      <c r="E927" s="4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48">
        <v>1764</v>
      </c>
      <c r="B928" s="49" t="s">
        <v>2507</v>
      </c>
      <c r="C928" s="41" t="s">
        <v>2508</v>
      </c>
      <c r="D928" s="42"/>
      <c r="E928" s="4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48">
        <v>1765</v>
      </c>
      <c r="B929" s="49" t="s">
        <v>2509</v>
      </c>
      <c r="C929" s="41" t="s">
        <v>2510</v>
      </c>
      <c r="D929" s="42"/>
      <c r="E929" s="4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48">
        <v>7166</v>
      </c>
      <c r="B930" s="49" t="s">
        <v>2511</v>
      </c>
      <c r="C930" s="41" t="s">
        <v>2512</v>
      </c>
      <c r="D930" s="42"/>
      <c r="E930" s="4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48">
        <v>7167</v>
      </c>
      <c r="B931" s="49" t="s">
        <v>2513</v>
      </c>
      <c r="C931" s="41" t="s">
        <v>2514</v>
      </c>
      <c r="D931" s="42"/>
      <c r="E931" s="4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48">
        <v>1768</v>
      </c>
      <c r="B932" s="49" t="s">
        <v>2515</v>
      </c>
      <c r="C932" s="41" t="s">
        <v>2516</v>
      </c>
      <c r="D932" s="42"/>
      <c r="E932" s="4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48">
        <v>1769</v>
      </c>
      <c r="B933" s="49" t="s">
        <v>2517</v>
      </c>
      <c r="C933" s="41" t="s">
        <v>2518</v>
      </c>
      <c r="D933" s="42"/>
      <c r="E933" s="4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48">
        <v>1770</v>
      </c>
      <c r="B934" s="49" t="s">
        <v>2519</v>
      </c>
      <c r="C934" s="41" t="s">
        <v>2520</v>
      </c>
      <c r="D934" s="42"/>
      <c r="E934" s="4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48">
        <v>1771</v>
      </c>
      <c r="B935" s="49" t="s">
        <v>2521</v>
      </c>
      <c r="C935" s="41" t="s">
        <v>2522</v>
      </c>
      <c r="D935" s="42"/>
      <c r="E935" s="4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48">
        <v>1772</v>
      </c>
      <c r="B936" s="49" t="s">
        <v>2523</v>
      </c>
      <c r="C936" s="41" t="s">
        <v>2524</v>
      </c>
      <c r="D936" s="42"/>
      <c r="E936" s="4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48">
        <v>1773</v>
      </c>
      <c r="B937" s="49" t="s">
        <v>2525</v>
      </c>
      <c r="C937" s="41" t="s">
        <v>2526</v>
      </c>
      <c r="D937" s="42"/>
      <c r="E937" s="4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48">
        <v>1774</v>
      </c>
      <c r="B938" s="49" t="s">
        <v>2527</v>
      </c>
      <c r="C938" s="41" t="s">
        <v>2528</v>
      </c>
      <c r="D938" s="42"/>
      <c r="E938" s="4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48">
        <v>1775</v>
      </c>
      <c r="B939" s="49" t="s">
        <v>2529</v>
      </c>
      <c r="C939" s="41" t="s">
        <v>2530</v>
      </c>
      <c r="D939" s="42"/>
      <c r="E939" s="4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48">
        <v>1776</v>
      </c>
      <c r="B940" s="49" t="s">
        <v>2531</v>
      </c>
      <c r="C940" s="41" t="s">
        <v>2532</v>
      </c>
      <c r="D940" s="42"/>
      <c r="E940" s="4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48">
        <v>1777</v>
      </c>
      <c r="B941" s="49" t="s">
        <v>2533</v>
      </c>
      <c r="C941" s="41" t="s">
        <v>2534</v>
      </c>
      <c r="D941" s="42"/>
      <c r="E941" s="4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48">
        <v>1778</v>
      </c>
      <c r="B942" s="49" t="s">
        <v>2535</v>
      </c>
      <c r="C942" s="41" t="s">
        <v>2536</v>
      </c>
      <c r="D942" s="42"/>
      <c r="E942" s="4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48">
        <v>1779</v>
      </c>
      <c r="B943" s="49" t="s">
        <v>2537</v>
      </c>
      <c r="C943" s="41" t="s">
        <v>2538</v>
      </c>
      <c r="D943" s="42"/>
      <c r="E943" s="4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48">
        <v>1780</v>
      </c>
      <c r="B944" s="49" t="s">
        <v>2539</v>
      </c>
      <c r="C944" s="41" t="s">
        <v>2540</v>
      </c>
      <c r="D944" s="42"/>
      <c r="E944" s="4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48">
        <v>1781</v>
      </c>
      <c r="B945" s="49" t="s">
        <v>2541</v>
      </c>
      <c r="C945" s="41" t="s">
        <v>2542</v>
      </c>
      <c r="D945" s="42"/>
      <c r="E945" s="4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48">
        <v>1782</v>
      </c>
      <c r="B946" s="49" t="s">
        <v>2543</v>
      </c>
      <c r="C946" s="41" t="s">
        <v>2544</v>
      </c>
      <c r="D946" s="42"/>
      <c r="E946" s="4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48">
        <v>1783</v>
      </c>
      <c r="B947" s="49" t="s">
        <v>2545</v>
      </c>
      <c r="C947" s="41" t="s">
        <v>2546</v>
      </c>
      <c r="D947" s="42"/>
      <c r="E947" s="4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48">
        <v>1784</v>
      </c>
      <c r="B948" s="49" t="s">
        <v>2547</v>
      </c>
      <c r="C948" s="41" t="s">
        <v>2548</v>
      </c>
      <c r="D948" s="42"/>
      <c r="E948" s="4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48">
        <v>1785</v>
      </c>
      <c r="B949" s="49" t="s">
        <v>2549</v>
      </c>
      <c r="C949" s="41" t="s">
        <v>2550</v>
      </c>
      <c r="D949" s="42"/>
      <c r="E949" s="4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48">
        <v>1786</v>
      </c>
      <c r="B950" s="49" t="s">
        <v>2551</v>
      </c>
      <c r="C950" s="41" t="s">
        <v>2552</v>
      </c>
      <c r="D950" s="42"/>
      <c r="E950" s="4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48">
        <v>1787</v>
      </c>
      <c r="B951" s="49" t="s">
        <v>2553</v>
      </c>
      <c r="C951" s="41" t="s">
        <v>2554</v>
      </c>
      <c r="D951" s="42"/>
      <c r="E951" s="4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48">
        <v>1788</v>
      </c>
      <c r="B952" s="49" t="s">
        <v>2555</v>
      </c>
      <c r="C952" s="41" t="s">
        <v>2556</v>
      </c>
      <c r="D952" s="42"/>
      <c r="E952" s="4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48">
        <v>1789</v>
      </c>
      <c r="B953" s="49" t="s">
        <v>2557</v>
      </c>
      <c r="C953" s="41" t="s">
        <v>2558</v>
      </c>
      <c r="D953" s="42"/>
      <c r="E953" s="4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48">
        <v>1790</v>
      </c>
      <c r="B954" s="49" t="s">
        <v>2559</v>
      </c>
      <c r="C954" s="41" t="s">
        <v>2560</v>
      </c>
      <c r="D954" s="42"/>
      <c r="E954" s="4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48">
        <v>1791</v>
      </c>
      <c r="B955" s="49" t="s">
        <v>2561</v>
      </c>
      <c r="C955" s="41" t="s">
        <v>2562</v>
      </c>
      <c r="D955" s="42"/>
      <c r="E955" s="4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48">
        <v>1792</v>
      </c>
      <c r="B956" s="49" t="s">
        <v>2563</v>
      </c>
      <c r="C956" s="41" t="s">
        <v>2564</v>
      </c>
      <c r="D956" s="42"/>
      <c r="E956" s="4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48">
        <v>1793</v>
      </c>
      <c r="B957" s="49" t="s">
        <v>2565</v>
      </c>
      <c r="C957" s="41" t="s">
        <v>2566</v>
      </c>
      <c r="D957" s="42"/>
      <c r="E957" s="4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48">
        <v>1794</v>
      </c>
      <c r="B958" s="49" t="s">
        <v>2567</v>
      </c>
      <c r="C958" s="41" t="s">
        <v>2568</v>
      </c>
      <c r="D958" s="42"/>
      <c r="E958" s="4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48">
        <v>1795</v>
      </c>
      <c r="B959" s="49" t="s">
        <v>2569</v>
      </c>
      <c r="C959" s="41" t="s">
        <v>2570</v>
      </c>
      <c r="D959" s="42"/>
      <c r="E959" s="4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48">
        <v>1796</v>
      </c>
      <c r="B960" s="49" t="s">
        <v>2571</v>
      </c>
      <c r="C960" s="41" t="s">
        <v>2572</v>
      </c>
      <c r="D960" s="42"/>
      <c r="E960" s="4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48">
        <v>1797</v>
      </c>
      <c r="B961" s="49" t="s">
        <v>2573</v>
      </c>
      <c r="C961" s="41" t="s">
        <v>2574</v>
      </c>
      <c r="D961" s="42"/>
      <c r="E961" s="4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48">
        <v>1798</v>
      </c>
      <c r="B962" s="49" t="s">
        <v>2575</v>
      </c>
      <c r="C962" s="41" t="s">
        <v>2576</v>
      </c>
      <c r="D962" s="42"/>
      <c r="E962" s="4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48">
        <v>1799</v>
      </c>
      <c r="B963" s="49" t="s">
        <v>2577</v>
      </c>
      <c r="C963" s="41" t="s">
        <v>2578</v>
      </c>
      <c r="D963" s="42"/>
      <c r="E963" s="4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50">
        <v>1800</v>
      </c>
      <c r="B964" s="49" t="s">
        <v>2579</v>
      </c>
      <c r="C964" s="41" t="s">
        <v>2580</v>
      </c>
      <c r="D964" s="42"/>
      <c r="E964" s="4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50">
        <v>1801</v>
      </c>
      <c r="B965" s="49" t="s">
        <v>2581</v>
      </c>
      <c r="C965" s="41" t="s">
        <v>2582</v>
      </c>
      <c r="D965" s="42"/>
      <c r="E965" s="4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50">
        <v>1802</v>
      </c>
      <c r="B966" s="49" t="s">
        <v>2583</v>
      </c>
      <c r="C966" s="41" t="s">
        <v>2584</v>
      </c>
      <c r="D966" s="42"/>
      <c r="E966" s="4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50">
        <v>1803</v>
      </c>
      <c r="B967" s="49" t="s">
        <v>2585</v>
      </c>
      <c r="C967" s="41" t="s">
        <v>2586</v>
      </c>
      <c r="D967" s="42"/>
      <c r="E967" s="4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50">
        <v>1804</v>
      </c>
      <c r="B968" s="49" t="s">
        <v>2587</v>
      </c>
      <c r="C968" s="41" t="s">
        <v>2588</v>
      </c>
      <c r="D968" s="42"/>
      <c r="E968" s="4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50">
        <v>1805</v>
      </c>
      <c r="B969" s="49" t="s">
        <v>2589</v>
      </c>
      <c r="C969" s="41" t="s">
        <v>2590</v>
      </c>
      <c r="D969" s="42"/>
      <c r="E969" s="4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50">
        <v>1806</v>
      </c>
      <c r="B970" s="49" t="s">
        <v>2591</v>
      </c>
      <c r="C970" s="41" t="s">
        <v>2592</v>
      </c>
      <c r="D970" s="42"/>
      <c r="E970" s="4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50">
        <v>1807</v>
      </c>
      <c r="B971" s="49" t="s">
        <v>2593</v>
      </c>
      <c r="C971" s="41" t="s">
        <v>2594</v>
      </c>
      <c r="D971" s="42"/>
      <c r="E971" s="4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50">
        <v>1808</v>
      </c>
      <c r="B972" s="49" t="s">
        <v>2595</v>
      </c>
      <c r="C972" s="41" t="s">
        <v>2596</v>
      </c>
      <c r="D972" s="42"/>
      <c r="E972" s="4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50">
        <v>1809</v>
      </c>
      <c r="B973" s="49" t="s">
        <v>2597</v>
      </c>
      <c r="C973" s="41" t="s">
        <v>2598</v>
      </c>
      <c r="D973" s="42"/>
      <c r="E973" s="4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50">
        <v>1810</v>
      </c>
      <c r="B974" s="49" t="s">
        <v>2599</v>
      </c>
      <c r="C974" s="41" t="s">
        <v>2600</v>
      </c>
      <c r="D974" s="42"/>
      <c r="E974" s="4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50">
        <v>1811</v>
      </c>
      <c r="B975" s="49" t="s">
        <v>2601</v>
      </c>
      <c r="C975" s="41" t="s">
        <v>2602</v>
      </c>
      <c r="D975" s="42"/>
      <c r="E975" s="4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50">
        <v>1812</v>
      </c>
      <c r="B976" s="49" t="s">
        <v>2603</v>
      </c>
      <c r="C976" s="41" t="s">
        <v>2604</v>
      </c>
      <c r="D976" s="42"/>
      <c r="E976" s="4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50">
        <v>1813</v>
      </c>
      <c r="B977" s="49" t="s">
        <v>2605</v>
      </c>
      <c r="C977" s="41" t="s">
        <v>2606</v>
      </c>
      <c r="D977" s="42"/>
      <c r="E977" s="4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50">
        <v>1814</v>
      </c>
      <c r="B978" s="49" t="s">
        <v>2607</v>
      </c>
      <c r="C978" s="41" t="s">
        <v>2608</v>
      </c>
      <c r="D978" s="42"/>
      <c r="E978" s="4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50">
        <v>1815</v>
      </c>
      <c r="B979" s="49" t="s">
        <v>2609</v>
      </c>
      <c r="C979" s="41" t="s">
        <v>2610</v>
      </c>
      <c r="D979" s="42"/>
      <c r="E979" s="4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50">
        <v>1816</v>
      </c>
      <c r="B980" s="49" t="s">
        <v>2611</v>
      </c>
      <c r="C980" s="41" t="s">
        <v>2612</v>
      </c>
      <c r="D980" s="42"/>
      <c r="E980" s="4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50">
        <v>1817</v>
      </c>
      <c r="B981" s="49" t="s">
        <v>2613</v>
      </c>
      <c r="C981" s="41" t="s">
        <v>2614</v>
      </c>
      <c r="D981" s="42"/>
      <c r="E981" s="4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50">
        <v>1818</v>
      </c>
      <c r="B982" s="49" t="s">
        <v>2615</v>
      </c>
      <c r="C982" s="41" t="s">
        <v>2616</v>
      </c>
      <c r="D982" s="42"/>
      <c r="E982" s="4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50">
        <v>1819</v>
      </c>
      <c r="B983" s="49" t="s">
        <v>2617</v>
      </c>
      <c r="C983" s="41" t="s">
        <v>2618</v>
      </c>
      <c r="D983" s="42"/>
      <c r="E983" s="4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50">
        <v>1820</v>
      </c>
      <c r="B984" s="49" t="s">
        <v>2619</v>
      </c>
      <c r="C984" s="41" t="s">
        <v>2620</v>
      </c>
      <c r="D984" s="42"/>
      <c r="E984" s="4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50">
        <v>1821</v>
      </c>
      <c r="B985" s="49" t="s">
        <v>2621</v>
      </c>
      <c r="C985" s="41" t="s">
        <v>2622</v>
      </c>
      <c r="D985" s="42"/>
      <c r="E985" s="4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50">
        <v>1822</v>
      </c>
      <c r="B986" s="49" t="s">
        <v>2623</v>
      </c>
      <c r="C986" s="41" t="s">
        <v>2624</v>
      </c>
      <c r="D986" s="42"/>
      <c r="E986" s="4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50">
        <v>1823</v>
      </c>
      <c r="B987" s="49" t="s">
        <v>2625</v>
      </c>
      <c r="C987" s="41" t="s">
        <v>2626</v>
      </c>
      <c r="D987" s="42"/>
      <c r="E987" s="4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50">
        <v>1824</v>
      </c>
      <c r="B988" s="49" t="s">
        <v>2627</v>
      </c>
      <c r="C988" s="41" t="s">
        <v>2628</v>
      </c>
      <c r="D988" s="42"/>
      <c r="E988" s="4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50">
        <v>1825</v>
      </c>
      <c r="B989" s="49" t="s">
        <v>2629</v>
      </c>
      <c r="C989" s="41" t="s">
        <v>2630</v>
      </c>
      <c r="D989" s="42"/>
      <c r="E989" s="4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50">
        <v>1826</v>
      </c>
      <c r="B990" s="49" t="s">
        <v>2631</v>
      </c>
      <c r="C990" s="41" t="s">
        <v>2632</v>
      </c>
      <c r="D990" s="42"/>
      <c r="E990" s="4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50">
        <v>1827</v>
      </c>
      <c r="B991" s="49" t="s">
        <v>2633</v>
      </c>
      <c r="C991" s="41" t="s">
        <v>2634</v>
      </c>
      <c r="D991" s="42"/>
      <c r="E991" s="4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50">
        <v>1828</v>
      </c>
      <c r="B992" s="49" t="s">
        <v>2635</v>
      </c>
      <c r="C992" s="41" t="s">
        <v>2636</v>
      </c>
      <c r="D992" s="42"/>
      <c r="E992" s="4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50">
        <v>1829</v>
      </c>
      <c r="B993" s="49" t="s">
        <v>2637</v>
      </c>
      <c r="C993" s="41" t="s">
        <v>2638</v>
      </c>
      <c r="D993" s="42"/>
      <c r="E993" s="4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50">
        <v>1830</v>
      </c>
      <c r="B994" s="49" t="s">
        <v>2639</v>
      </c>
      <c r="C994" s="41" t="s">
        <v>2640</v>
      </c>
      <c r="D994" s="42"/>
      <c r="E994" s="4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50">
        <v>1831</v>
      </c>
      <c r="B995" s="49" t="s">
        <v>2641</v>
      </c>
      <c r="C995" s="41" t="s">
        <v>2642</v>
      </c>
      <c r="D995" s="42"/>
      <c r="E995" s="4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50">
        <v>1832</v>
      </c>
      <c r="B996" s="49" t="s">
        <v>2643</v>
      </c>
      <c r="C996" s="41" t="s">
        <v>2644</v>
      </c>
      <c r="D996" s="42"/>
      <c r="E996" s="4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50">
        <v>1833</v>
      </c>
      <c r="B997" s="49" t="s">
        <v>2645</v>
      </c>
      <c r="C997" s="41" t="s">
        <v>2646</v>
      </c>
      <c r="D997" s="42"/>
      <c r="E997" s="4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50">
        <v>1834</v>
      </c>
      <c r="B998" s="49" t="s">
        <v>2647</v>
      </c>
      <c r="C998" s="41" t="s">
        <v>2648</v>
      </c>
      <c r="D998" s="42"/>
      <c r="E998" s="4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50">
        <v>1835</v>
      </c>
      <c r="B999" s="49" t="s">
        <v>2649</v>
      </c>
      <c r="C999" s="41" t="s">
        <v>2650</v>
      </c>
      <c r="D999" s="42"/>
      <c r="E999" s="4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50">
        <v>1836</v>
      </c>
      <c r="B1000" s="49" t="s">
        <v>2651</v>
      </c>
      <c r="C1000" s="41" t="s">
        <v>2652</v>
      </c>
      <c r="D1000" s="42"/>
      <c r="E1000" s="4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>
      <c r="A1001" s="50">
        <v>1837</v>
      </c>
      <c r="B1001" s="49" t="s">
        <v>2653</v>
      </c>
      <c r="C1001" s="41" t="s">
        <v>2654</v>
      </c>
      <c r="D1001" s="42"/>
      <c r="E1001" s="4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>
      <c r="A1002" s="50">
        <v>1838</v>
      </c>
      <c r="B1002" s="49" t="s">
        <v>2655</v>
      </c>
      <c r="C1002" s="41" t="s">
        <v>2656</v>
      </c>
      <c r="D1002" s="42"/>
      <c r="E1002" s="4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>
      <c r="A1003" s="50">
        <v>1839</v>
      </c>
      <c r="B1003" s="49" t="s">
        <v>2657</v>
      </c>
      <c r="C1003" s="41" t="s">
        <v>2658</v>
      </c>
      <c r="D1003" s="42"/>
      <c r="E1003" s="4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customHeight="1">
      <c r="A1004" s="50">
        <v>1840</v>
      </c>
      <c r="B1004" s="49" t="s">
        <v>2659</v>
      </c>
      <c r="C1004" s="41" t="s">
        <v>2660</v>
      </c>
      <c r="D1004" s="42"/>
      <c r="E1004" s="4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customHeight="1">
      <c r="A1005" s="6">
        <v>1850</v>
      </c>
      <c r="B1005" s="49"/>
      <c r="C1005" s="41" t="s">
        <v>2661</v>
      </c>
      <c r="D1005" s="42"/>
      <c r="E1005" s="4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.75" customHeight="1">
      <c r="A1006" s="6">
        <v>1851</v>
      </c>
      <c r="B1006" s="49"/>
      <c r="C1006" s="41" t="s">
        <v>2662</v>
      </c>
      <c r="D1006" s="42"/>
      <c r="E1006" s="4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.75" customHeight="1">
      <c r="A1007" s="6">
        <v>1852</v>
      </c>
      <c r="B1007" s="49"/>
      <c r="C1007" s="41" t="s">
        <v>2663</v>
      </c>
      <c r="D1007" s="42"/>
      <c r="E1007" s="4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.75" customHeight="1">
      <c r="A1008" s="6">
        <v>1853</v>
      </c>
      <c r="B1008" s="49"/>
      <c r="C1008" s="41"/>
      <c r="D1008" s="42"/>
      <c r="E1008" s="4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.75" customHeight="1">
      <c r="A1009" s="6">
        <v>1854</v>
      </c>
      <c r="B1009" s="49"/>
      <c r="C1009" s="41"/>
      <c r="D1009" s="42"/>
      <c r="E1009" s="4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5.75" customHeight="1">
      <c r="A1010" s="6">
        <v>1855</v>
      </c>
      <c r="B1010" s="49"/>
      <c r="C1010" s="41"/>
      <c r="D1010" s="42"/>
      <c r="E1010" s="4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5.75" customHeight="1">
      <c r="A1011" s="6">
        <v>1856</v>
      </c>
      <c r="B1011" s="49"/>
      <c r="C1011" s="41"/>
      <c r="D1011" s="42"/>
      <c r="E1011" s="4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5.75" customHeight="1">
      <c r="A1012" s="6">
        <v>1857</v>
      </c>
      <c r="B1012" s="49"/>
      <c r="C1012" s="41"/>
      <c r="D1012" s="42"/>
      <c r="E1012" s="4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5.75" customHeight="1">
      <c r="A1013" s="6">
        <v>1858</v>
      </c>
      <c r="B1013" s="49"/>
      <c r="C1013" s="41"/>
      <c r="D1013" s="42"/>
      <c r="E1013" s="4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5.75" customHeight="1">
      <c r="A1014" s="6">
        <v>1859</v>
      </c>
      <c r="B1014" s="49"/>
      <c r="C1014" s="41"/>
      <c r="D1014" s="42"/>
      <c r="E1014" s="4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5.75" customHeight="1">
      <c r="A1015" s="6">
        <v>1860</v>
      </c>
      <c r="B1015" s="49"/>
      <c r="C1015" s="41"/>
      <c r="D1015" s="42"/>
      <c r="E1015" s="4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5.75" customHeight="1">
      <c r="A1016" s="6">
        <v>1861</v>
      </c>
      <c r="B1016" s="49"/>
      <c r="C1016" s="41" t="s">
        <v>2662</v>
      </c>
      <c r="D1016" s="42"/>
      <c r="E1016" s="4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5.75" customHeight="1">
      <c r="A1017" s="6">
        <v>1862</v>
      </c>
      <c r="B1017" s="49"/>
      <c r="C1017" s="41" t="s">
        <v>2663</v>
      </c>
      <c r="D1017" s="42"/>
      <c r="E1017" s="4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5.75" customHeight="1">
      <c r="A1018" s="6">
        <v>1863</v>
      </c>
      <c r="B1018" s="49"/>
      <c r="C1018" s="41"/>
      <c r="D1018" s="42"/>
      <c r="E1018" s="4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5.75" customHeight="1">
      <c r="A1019" s="6">
        <v>1864</v>
      </c>
      <c r="B1019" s="49"/>
      <c r="C1019" s="41"/>
      <c r="D1019" s="42"/>
      <c r="E1019" s="4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5.75" customHeight="1">
      <c r="A1020" s="6">
        <v>1865</v>
      </c>
      <c r="B1020" s="49"/>
      <c r="C1020" s="41"/>
      <c r="D1020" s="42"/>
      <c r="E1020" s="4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5.75" customHeight="1">
      <c r="A1021" s="6">
        <v>1866</v>
      </c>
      <c r="B1021" s="49"/>
      <c r="C1021" s="41"/>
      <c r="D1021" s="42"/>
      <c r="E1021" s="4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5.75" customHeight="1">
      <c r="A1022" s="6">
        <v>1867</v>
      </c>
      <c r="B1022" s="49"/>
      <c r="C1022" s="41"/>
      <c r="D1022" s="42"/>
      <c r="E1022" s="4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5.75" customHeight="1">
      <c r="A1023" s="6">
        <v>1868</v>
      </c>
      <c r="B1023" s="49"/>
      <c r="C1023" s="41"/>
      <c r="D1023" s="42"/>
      <c r="E1023" s="4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5.75" customHeight="1">
      <c r="A1024" s="6">
        <v>1869</v>
      </c>
      <c r="B1024" s="49"/>
      <c r="C1024" s="41"/>
      <c r="D1024" s="42"/>
      <c r="E1024" s="4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5.75" customHeight="1">
      <c r="A1025" s="6">
        <v>1870</v>
      </c>
      <c r="B1025" s="49"/>
      <c r="C1025" s="41"/>
      <c r="D1025" s="42"/>
      <c r="E1025" s="4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5.75" customHeight="1">
      <c r="A1026" s="6">
        <v>1871</v>
      </c>
      <c r="B1026" s="49"/>
      <c r="C1026" s="41" t="s">
        <v>2662</v>
      </c>
      <c r="D1026" s="42"/>
      <c r="E1026" s="4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5.75" customHeight="1">
      <c r="A1027" s="6">
        <v>1872</v>
      </c>
      <c r="B1027" s="49"/>
      <c r="C1027" s="41" t="s">
        <v>2663</v>
      </c>
      <c r="D1027" s="42"/>
      <c r="E1027" s="4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5.75" customHeight="1">
      <c r="A1028" s="6">
        <v>1873</v>
      </c>
      <c r="B1028" s="49"/>
      <c r="C1028" s="41"/>
      <c r="D1028" s="42"/>
      <c r="E1028" s="4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5.75" customHeight="1">
      <c r="A1029" s="6">
        <v>1874</v>
      </c>
      <c r="B1029" s="49"/>
      <c r="C1029" s="41"/>
      <c r="D1029" s="42"/>
      <c r="E1029" s="4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5.75" customHeight="1">
      <c r="A1030" s="6">
        <v>1875</v>
      </c>
      <c r="B1030" s="49"/>
      <c r="C1030" s="41"/>
      <c r="D1030" s="42"/>
      <c r="E1030" s="4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5.75" customHeight="1">
      <c r="A1031" s="6">
        <v>1876</v>
      </c>
      <c r="B1031" s="49"/>
      <c r="C1031" s="41"/>
      <c r="D1031" s="42"/>
      <c r="E1031" s="4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5.75" customHeight="1">
      <c r="A1032" s="6">
        <v>1877</v>
      </c>
      <c r="B1032" s="49"/>
      <c r="C1032" s="41"/>
      <c r="D1032" s="42"/>
      <c r="E1032" s="4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5.75" customHeight="1">
      <c r="A1033" s="6">
        <v>1878</v>
      </c>
      <c r="B1033" s="49"/>
      <c r="C1033" s="41"/>
      <c r="D1033" s="42"/>
      <c r="E1033" s="4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5.75" customHeight="1">
      <c r="A1034" s="6">
        <v>1879</v>
      </c>
      <c r="B1034" s="49"/>
      <c r="C1034" s="41"/>
      <c r="D1034" s="42"/>
      <c r="E1034" s="4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5.75" customHeight="1">
      <c r="A1035" s="6">
        <v>1880</v>
      </c>
      <c r="B1035" s="49"/>
      <c r="C1035" s="41"/>
      <c r="D1035" s="42"/>
      <c r="E1035" s="4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5.75" customHeight="1">
      <c r="A1036" s="6">
        <v>1881</v>
      </c>
      <c r="B1036" s="49"/>
      <c r="C1036" s="41" t="s">
        <v>2662</v>
      </c>
      <c r="D1036" s="42"/>
      <c r="E1036" s="4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5.75" customHeight="1">
      <c r="A1037" s="6">
        <v>1882</v>
      </c>
      <c r="B1037" s="49"/>
      <c r="C1037" s="41" t="s">
        <v>2663</v>
      </c>
      <c r="D1037" s="42"/>
      <c r="E1037" s="4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5.75" customHeight="1">
      <c r="A1038" s="6">
        <v>1883</v>
      </c>
      <c r="B1038" s="49"/>
      <c r="C1038" s="41"/>
      <c r="D1038" s="42"/>
      <c r="E1038" s="4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5.75" customHeight="1">
      <c r="A1039" s="6">
        <v>1884</v>
      </c>
      <c r="B1039" s="49"/>
      <c r="C1039" s="41"/>
      <c r="D1039" s="42"/>
      <c r="E1039" s="4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5.75" customHeight="1">
      <c r="A1040" s="6">
        <v>1885</v>
      </c>
      <c r="B1040" s="49"/>
      <c r="C1040" s="41"/>
      <c r="D1040" s="42"/>
      <c r="E1040" s="4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5.75" customHeight="1">
      <c r="A1041" s="6">
        <v>1886</v>
      </c>
      <c r="B1041" s="49"/>
      <c r="C1041" s="41"/>
      <c r="D1041" s="42"/>
      <c r="E1041" s="4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5.75" customHeight="1">
      <c r="A1042" s="6">
        <v>1887</v>
      </c>
      <c r="B1042" s="49"/>
      <c r="C1042" s="41"/>
      <c r="D1042" s="42"/>
      <c r="E1042" s="4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5.75" customHeight="1">
      <c r="A1043" s="6">
        <v>1888</v>
      </c>
      <c r="B1043" s="49"/>
      <c r="C1043" s="41"/>
      <c r="D1043" s="42"/>
      <c r="E1043" s="4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5.75" customHeight="1">
      <c r="A1044" s="6">
        <v>1889</v>
      </c>
      <c r="B1044" s="49"/>
      <c r="C1044" s="41"/>
      <c r="D1044" s="42"/>
      <c r="E1044" s="4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5.75" customHeight="1">
      <c r="A1045" s="6">
        <v>1890</v>
      </c>
      <c r="B1045" s="49"/>
      <c r="C1045" s="41"/>
      <c r="D1045" s="42"/>
      <c r="E1045" s="4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5.75" customHeight="1">
      <c r="A1046" s="6">
        <v>1891</v>
      </c>
      <c r="B1046" s="49"/>
      <c r="C1046" s="41" t="s">
        <v>2664</v>
      </c>
      <c r="D1046" s="42"/>
      <c r="E1046" s="4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5.75" customHeight="1">
      <c r="A1047" s="6">
        <v>1892</v>
      </c>
      <c r="B1047" s="49"/>
      <c r="C1047" s="41"/>
      <c r="D1047" s="42"/>
      <c r="E1047" s="4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5.75" customHeight="1">
      <c r="A1048" s="6">
        <v>1893</v>
      </c>
      <c r="B1048" s="49"/>
      <c r="C1048" s="41"/>
      <c r="D1048" s="42"/>
      <c r="E1048" s="4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5.75" customHeight="1">
      <c r="A1049" s="6">
        <v>1894</v>
      </c>
      <c r="B1049" s="49"/>
      <c r="C1049" s="41"/>
      <c r="D1049" s="42"/>
      <c r="E1049" s="4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5.75" customHeight="1">
      <c r="A1050" s="6">
        <v>1895</v>
      </c>
      <c r="B1050" s="49"/>
      <c r="C1050" s="41"/>
      <c r="D1050" s="42"/>
      <c r="E1050" s="4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5.75" customHeight="1">
      <c r="A1051" s="6">
        <v>1896</v>
      </c>
      <c r="B1051" s="49"/>
      <c r="C1051" s="41"/>
      <c r="D1051" s="42"/>
      <c r="E1051" s="4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5.75" customHeight="1">
      <c r="A1052" s="6">
        <v>1897</v>
      </c>
      <c r="B1052" s="49"/>
      <c r="C1052" s="41"/>
      <c r="D1052" s="42"/>
      <c r="E1052" s="4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5.75" customHeight="1">
      <c r="A1053" s="6">
        <v>1898</v>
      </c>
      <c r="B1053" s="49"/>
      <c r="C1053" s="41"/>
      <c r="D1053" s="42"/>
      <c r="E1053" s="4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5.75" customHeight="1">
      <c r="A1054" s="6">
        <v>1899</v>
      </c>
      <c r="B1054" s="49"/>
      <c r="C1054" s="41"/>
      <c r="D1054" s="42"/>
      <c r="E1054" s="4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5.75" customHeight="1">
      <c r="A1055" s="6">
        <v>1900</v>
      </c>
      <c r="B1055" s="49"/>
      <c r="C1055" s="41"/>
      <c r="D1055" s="42"/>
      <c r="E1055" s="4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5.75" customHeight="1">
      <c r="A1056" s="50">
        <v>1901</v>
      </c>
      <c r="B1056" s="49" t="s">
        <v>2665</v>
      </c>
      <c r="C1056" s="41" t="s">
        <v>2666</v>
      </c>
      <c r="D1056" s="42"/>
      <c r="E1056" s="4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5.75" customHeight="1">
      <c r="A1057" s="50">
        <v>1902</v>
      </c>
      <c r="B1057" s="49" t="s">
        <v>2667</v>
      </c>
      <c r="C1057" s="41" t="s">
        <v>2668</v>
      </c>
      <c r="D1057" s="42"/>
      <c r="E1057" s="4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5.75" customHeight="1">
      <c r="A1058" s="48">
        <v>1904</v>
      </c>
      <c r="B1058" s="49" t="s">
        <v>2669</v>
      </c>
      <c r="C1058" s="41" t="s">
        <v>2670</v>
      </c>
      <c r="D1058" s="42"/>
      <c r="E1058" s="4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5.75" customHeight="1">
      <c r="A1059" s="48">
        <v>1905</v>
      </c>
      <c r="B1059" s="49" t="s">
        <v>2671</v>
      </c>
      <c r="C1059" s="41" t="s">
        <v>2672</v>
      </c>
      <c r="D1059" s="42"/>
      <c r="E1059" s="4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5.75" customHeight="1">
      <c r="A1060" s="48">
        <v>1906</v>
      </c>
      <c r="B1060" s="49" t="s">
        <v>2673</v>
      </c>
      <c r="C1060" s="41" t="s">
        <v>2674</v>
      </c>
      <c r="D1060" s="42"/>
      <c r="E1060" s="4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5.75" customHeight="1">
      <c r="A1061" s="48">
        <v>1907</v>
      </c>
      <c r="B1061" s="49" t="s">
        <v>2675</v>
      </c>
      <c r="C1061" s="41" t="s">
        <v>2676</v>
      </c>
      <c r="D1061" s="42"/>
      <c r="E1061" s="4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5.75" customHeight="1">
      <c r="A1062" s="48">
        <v>1908</v>
      </c>
      <c r="B1062" s="49" t="s">
        <v>2677</v>
      </c>
      <c r="C1062" s="41" t="s">
        <v>2678</v>
      </c>
      <c r="D1062" s="42"/>
      <c r="E1062" s="4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5.75" customHeight="1">
      <c r="A1063" s="48">
        <v>1910</v>
      </c>
      <c r="B1063" s="49" t="s">
        <v>2679</v>
      </c>
      <c r="C1063" s="50" t="s">
        <v>2680</v>
      </c>
      <c r="D1063" s="42"/>
      <c r="E1063" s="4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5.75" customHeight="1">
      <c r="A1064" s="48">
        <v>1911</v>
      </c>
      <c r="B1064" s="49" t="s">
        <v>2681</v>
      </c>
      <c r="C1064" s="50" t="s">
        <v>2682</v>
      </c>
      <c r="D1064" s="42"/>
      <c r="E1064" s="4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5.75" customHeight="1">
      <c r="A1065" s="48">
        <v>1912</v>
      </c>
      <c r="B1065" s="49" t="s">
        <v>2683</v>
      </c>
      <c r="C1065" s="50" t="s">
        <v>2684</v>
      </c>
      <c r="D1065" s="42"/>
      <c r="E1065" s="4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5.75" customHeight="1">
      <c r="A1066" s="48">
        <v>1915</v>
      </c>
      <c r="B1066" s="49" t="s">
        <v>2685</v>
      </c>
      <c r="C1066" s="41" t="s">
        <v>2686</v>
      </c>
      <c r="D1066" s="42"/>
      <c r="E1066" s="4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5.75" customHeight="1">
      <c r="A1067" s="48">
        <v>1916</v>
      </c>
      <c r="B1067" s="49" t="s">
        <v>2687</v>
      </c>
      <c r="C1067" s="41" t="s">
        <v>2688</v>
      </c>
      <c r="D1067" s="42"/>
      <c r="E1067" s="4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5.75" customHeight="1">
      <c r="A1068" s="48">
        <v>1917</v>
      </c>
      <c r="B1068" s="49" t="s">
        <v>2689</v>
      </c>
      <c r="C1068" s="41" t="s">
        <v>2690</v>
      </c>
      <c r="D1068" s="42"/>
      <c r="E1068" s="4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5.75" customHeight="1">
      <c r="A1069" s="48">
        <v>1918</v>
      </c>
      <c r="B1069" s="49" t="s">
        <v>2691</v>
      </c>
      <c r="C1069" s="41" t="s">
        <v>2692</v>
      </c>
      <c r="D1069" s="42"/>
      <c r="E1069" s="4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5.75" customHeight="1">
      <c r="A1070" s="48">
        <v>1919</v>
      </c>
      <c r="B1070" s="49" t="s">
        <v>2693</v>
      </c>
      <c r="C1070" s="41" t="s">
        <v>2694</v>
      </c>
      <c r="D1070" s="42"/>
      <c r="E1070" s="4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5.75" customHeight="1">
      <c r="A1071" s="48">
        <v>1920</v>
      </c>
      <c r="B1071" s="49" t="s">
        <v>2695</v>
      </c>
      <c r="C1071" s="41" t="s">
        <v>2696</v>
      </c>
      <c r="D1071" s="42"/>
      <c r="E1071" s="4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5.75" customHeight="1">
      <c r="A1072" s="48">
        <v>1921</v>
      </c>
      <c r="B1072" s="49" t="s">
        <v>2697</v>
      </c>
      <c r="C1072" s="41" t="s">
        <v>2698</v>
      </c>
      <c r="D1072" s="42"/>
      <c r="E1072" s="4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15.75" customHeight="1">
      <c r="A1073" s="48">
        <v>1922</v>
      </c>
      <c r="B1073" s="49" t="s">
        <v>2699</v>
      </c>
      <c r="C1073" s="41" t="s">
        <v>2700</v>
      </c>
      <c r="D1073" s="42"/>
      <c r="E1073" s="4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15.75" customHeight="1">
      <c r="A1074" s="48">
        <v>1923</v>
      </c>
      <c r="B1074" s="49" t="s">
        <v>2701</v>
      </c>
      <c r="C1074" s="41" t="s">
        <v>2702</v>
      </c>
      <c r="D1074" s="42"/>
      <c r="E1074" s="4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5.75" customHeight="1">
      <c r="A1075" s="48">
        <v>1924</v>
      </c>
      <c r="B1075" s="49" t="s">
        <v>2703</v>
      </c>
      <c r="C1075" s="41" t="s">
        <v>2704</v>
      </c>
      <c r="D1075" s="42"/>
      <c r="E1075" s="4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5.75" customHeight="1">
      <c r="A1076" s="48">
        <v>1925</v>
      </c>
      <c r="B1076" s="49" t="s">
        <v>2705</v>
      </c>
      <c r="C1076" s="41" t="s">
        <v>2706</v>
      </c>
      <c r="D1076" s="42"/>
      <c r="E1076" s="4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15.75" customHeight="1">
      <c r="A1077" s="48">
        <v>1926</v>
      </c>
      <c r="B1077" s="49" t="s">
        <v>2707</v>
      </c>
      <c r="C1077" s="41" t="s">
        <v>2708</v>
      </c>
      <c r="D1077" s="42"/>
      <c r="E1077" s="4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15.75" customHeight="1">
      <c r="A1078" s="48">
        <v>1927</v>
      </c>
      <c r="B1078" s="49" t="s">
        <v>2709</v>
      </c>
      <c r="C1078" s="41" t="s">
        <v>2710</v>
      </c>
      <c r="D1078" s="42"/>
      <c r="E1078" s="4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15.75" customHeight="1">
      <c r="A1079" s="48">
        <v>1941</v>
      </c>
      <c r="B1079" s="49" t="s">
        <v>2711</v>
      </c>
      <c r="C1079" s="41" t="s">
        <v>2712</v>
      </c>
      <c r="D1079" s="42"/>
      <c r="E1079" s="4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ht="15.75" customHeight="1">
      <c r="A1080" s="48">
        <v>1942</v>
      </c>
      <c r="B1080" s="49" t="s">
        <v>2713</v>
      </c>
      <c r="C1080" s="41" t="s">
        <v>2714</v>
      </c>
      <c r="D1080" s="42"/>
      <c r="E1080" s="4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5.75" customHeight="1">
      <c r="A1081" s="48"/>
      <c r="B1081" s="49"/>
      <c r="C1081" s="41"/>
      <c r="D1081" s="42"/>
      <c r="E1081" s="4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ht="15.75" customHeight="1">
      <c r="A1082" s="51">
        <v>2001</v>
      </c>
      <c r="B1082" s="7" t="s">
        <v>2715</v>
      </c>
      <c r="C1082" s="52" t="s">
        <v>324</v>
      </c>
      <c r="D1082" s="8"/>
      <c r="E1082" s="7" t="s">
        <v>325</v>
      </c>
      <c r="F1082" s="1">
        <v>1</v>
      </c>
      <c r="G1082" s="1">
        <f t="shared" ref="G1082:G1161" si="79">LEN(C1082)</f>
        <v>42</v>
      </c>
      <c r="H1082" s="1" t="str">
        <f t="shared" ref="H1082:H1161" si="80">CONCATENATE("insert into catInformation select ",A1082,",'",C1082,"',0,",F1082)</f>
        <v>insert into catInformation select 2001,'Nombre del Aval 01. Para creditos grupales',0,1</v>
      </c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ht="15.75" customHeight="1">
      <c r="A1083" s="1">
        <v>2002</v>
      </c>
      <c r="B1083" s="9" t="s">
        <v>2716</v>
      </c>
      <c r="C1083" s="18" t="s">
        <v>326</v>
      </c>
      <c r="D1083" s="10"/>
      <c r="E1083" s="9" t="s">
        <v>327</v>
      </c>
      <c r="F1083" s="1">
        <v>1</v>
      </c>
      <c r="G1083" s="1">
        <f t="shared" si="79"/>
        <v>42</v>
      </c>
      <c r="H1083" s="1" t="str">
        <f t="shared" si="80"/>
        <v>insert into catInformation select 2002,'Nombre del Aval 02. Para creditos grupales',0,1</v>
      </c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ht="15.75" customHeight="1">
      <c r="A1084" s="1">
        <v>2003</v>
      </c>
      <c r="B1084" s="9" t="s">
        <v>2717</v>
      </c>
      <c r="C1084" s="18" t="s">
        <v>328</v>
      </c>
      <c r="D1084" s="10"/>
      <c r="E1084" s="9" t="s">
        <v>329</v>
      </c>
      <c r="F1084" s="1">
        <v>1</v>
      </c>
      <c r="G1084" s="1">
        <f t="shared" si="79"/>
        <v>42</v>
      </c>
      <c r="H1084" s="1" t="str">
        <f t="shared" si="80"/>
        <v>insert into catInformation select 2003,'Nombre del Aval 03. Para creditos grupales',0,1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ht="15.75" customHeight="1">
      <c r="A1085" s="1">
        <v>2004</v>
      </c>
      <c r="B1085" s="9" t="s">
        <v>2718</v>
      </c>
      <c r="C1085" s="18" t="s">
        <v>330</v>
      </c>
      <c r="D1085" s="10"/>
      <c r="E1085" s="9" t="s">
        <v>331</v>
      </c>
      <c r="F1085" s="1">
        <v>1</v>
      </c>
      <c r="G1085" s="1">
        <f t="shared" si="79"/>
        <v>42</v>
      </c>
      <c r="H1085" s="1" t="str">
        <f t="shared" si="80"/>
        <v>insert into catInformation select 2004,'Nombre del Aval 04. Para creditos grupales',0,1</v>
      </c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ht="15.75" customHeight="1">
      <c r="A1086" s="1">
        <v>2005</v>
      </c>
      <c r="B1086" s="9" t="s">
        <v>2719</v>
      </c>
      <c r="C1086" s="18" t="s">
        <v>332</v>
      </c>
      <c r="D1086" s="10"/>
      <c r="E1086" s="9" t="s">
        <v>333</v>
      </c>
      <c r="F1086" s="1">
        <v>1</v>
      </c>
      <c r="G1086" s="1">
        <f t="shared" si="79"/>
        <v>42</v>
      </c>
      <c r="H1086" s="1" t="str">
        <f t="shared" si="80"/>
        <v>insert into catInformation select 2005,'Nombre del Aval 05. Para creditos grupales',0,1</v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ht="15.75" customHeight="1">
      <c r="A1087" s="1">
        <v>2006</v>
      </c>
      <c r="B1087" s="9" t="s">
        <v>2720</v>
      </c>
      <c r="C1087" s="18" t="s">
        <v>334</v>
      </c>
      <c r="D1087" s="10"/>
      <c r="E1087" s="9" t="s">
        <v>335</v>
      </c>
      <c r="F1087" s="1">
        <v>1</v>
      </c>
      <c r="G1087" s="1">
        <f t="shared" si="79"/>
        <v>42</v>
      </c>
      <c r="H1087" s="1" t="str">
        <f t="shared" si="80"/>
        <v>insert into catInformation select 2006,'Nombre del Aval 06. Para creditos grupales',0,1</v>
      </c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ht="15.75" customHeight="1">
      <c r="A1088" s="1">
        <v>2007</v>
      </c>
      <c r="B1088" s="9" t="s">
        <v>2721</v>
      </c>
      <c r="C1088" s="18" t="s">
        <v>336</v>
      </c>
      <c r="D1088" s="10"/>
      <c r="E1088" s="9" t="s">
        <v>337</v>
      </c>
      <c r="F1088" s="1">
        <v>1</v>
      </c>
      <c r="G1088" s="1">
        <f t="shared" si="79"/>
        <v>42</v>
      </c>
      <c r="H1088" s="1" t="str">
        <f t="shared" si="80"/>
        <v>insert into catInformation select 2007,'Nombre del Aval 07. Para creditos grupales',0,1</v>
      </c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ht="15.75" customHeight="1">
      <c r="A1089" s="1">
        <v>2008</v>
      </c>
      <c r="B1089" s="9" t="s">
        <v>2722</v>
      </c>
      <c r="C1089" s="18" t="s">
        <v>338</v>
      </c>
      <c r="D1089" s="10"/>
      <c r="E1089" s="9" t="s">
        <v>339</v>
      </c>
      <c r="F1089" s="1">
        <v>1</v>
      </c>
      <c r="G1089" s="1">
        <f t="shared" si="79"/>
        <v>42</v>
      </c>
      <c r="H1089" s="1" t="str">
        <f t="shared" si="80"/>
        <v>insert into catInformation select 2008,'Nombre del Aval 08. Para creditos grupales',0,1</v>
      </c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ht="15.75" customHeight="1">
      <c r="A1090" s="1">
        <v>2009</v>
      </c>
      <c r="B1090" s="9" t="s">
        <v>2723</v>
      </c>
      <c r="C1090" s="18" t="s">
        <v>340</v>
      </c>
      <c r="D1090" s="10"/>
      <c r="E1090" s="9" t="s">
        <v>341</v>
      </c>
      <c r="F1090" s="1">
        <v>1</v>
      </c>
      <c r="G1090" s="1">
        <f t="shared" si="79"/>
        <v>42</v>
      </c>
      <c r="H1090" s="1" t="str">
        <f t="shared" si="80"/>
        <v>insert into catInformation select 2009,'Nombre del Aval 09. Para creditos grupales',0,1</v>
      </c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ht="15.75" customHeight="1">
      <c r="A1091" s="1">
        <v>2010</v>
      </c>
      <c r="B1091" s="9" t="s">
        <v>2724</v>
      </c>
      <c r="C1091" s="18" t="s">
        <v>342</v>
      </c>
      <c r="D1091" s="10"/>
      <c r="E1091" s="9" t="s">
        <v>343</v>
      </c>
      <c r="F1091" s="1">
        <v>1</v>
      </c>
      <c r="G1091" s="1">
        <f t="shared" si="79"/>
        <v>42</v>
      </c>
      <c r="H1091" s="1" t="str">
        <f t="shared" si="80"/>
        <v>insert into catInformation select 2010,'Nombre del Aval 10. Para creditos grupales',0,1</v>
      </c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ht="15.75" customHeight="1">
      <c r="A1092" s="1">
        <v>2011</v>
      </c>
      <c r="B1092" s="9" t="s">
        <v>2725</v>
      </c>
      <c r="C1092" s="18" t="s">
        <v>344</v>
      </c>
      <c r="D1092" s="10"/>
      <c r="E1092" s="9" t="s">
        <v>345</v>
      </c>
      <c r="F1092" s="1">
        <v>1</v>
      </c>
      <c r="G1092" s="1">
        <f t="shared" si="79"/>
        <v>42</v>
      </c>
      <c r="H1092" s="1" t="str">
        <f t="shared" si="80"/>
        <v>insert into catInformation select 2011,'Nombre del Aval 11. Para creditos grupales',0,1</v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ht="15.75" customHeight="1">
      <c r="A1093" s="1">
        <v>2012</v>
      </c>
      <c r="B1093" s="9" t="s">
        <v>2726</v>
      </c>
      <c r="C1093" s="18" t="s">
        <v>346</v>
      </c>
      <c r="D1093" s="10"/>
      <c r="E1093" s="9" t="s">
        <v>347</v>
      </c>
      <c r="F1093" s="1">
        <v>1</v>
      </c>
      <c r="G1093" s="1">
        <f t="shared" si="79"/>
        <v>42</v>
      </c>
      <c r="H1093" s="1" t="str">
        <f t="shared" si="80"/>
        <v>insert into catInformation select 2012,'Nombre del Aval 12. Para creditos grupales',0,1</v>
      </c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15.75" customHeight="1">
      <c r="A1094" s="1">
        <v>2013</v>
      </c>
      <c r="B1094" s="9" t="s">
        <v>2727</v>
      </c>
      <c r="C1094" s="18" t="s">
        <v>348</v>
      </c>
      <c r="D1094" s="10"/>
      <c r="E1094" s="9" t="s">
        <v>349</v>
      </c>
      <c r="F1094" s="1">
        <v>1</v>
      </c>
      <c r="G1094" s="1">
        <f t="shared" si="79"/>
        <v>42</v>
      </c>
      <c r="H1094" s="1" t="str">
        <f t="shared" si="80"/>
        <v>insert into catInformation select 2013,'Nombre del Aval 13. Para creditos grupales',0,1</v>
      </c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ht="15.75" customHeight="1">
      <c r="A1095" s="1">
        <v>2014</v>
      </c>
      <c r="B1095" s="9" t="s">
        <v>2728</v>
      </c>
      <c r="C1095" s="18" t="s">
        <v>350</v>
      </c>
      <c r="D1095" s="10"/>
      <c r="E1095" s="9" t="s">
        <v>351</v>
      </c>
      <c r="F1095" s="1">
        <v>1</v>
      </c>
      <c r="G1095" s="1">
        <f t="shared" si="79"/>
        <v>42</v>
      </c>
      <c r="H1095" s="1" t="str">
        <f t="shared" si="80"/>
        <v>insert into catInformation select 2014,'Nombre del Aval 14. Para creditos grupales',0,1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ht="15.75" customHeight="1">
      <c r="A1096" s="1">
        <v>2015</v>
      </c>
      <c r="B1096" s="9" t="s">
        <v>2729</v>
      </c>
      <c r="C1096" s="18" t="s">
        <v>352</v>
      </c>
      <c r="D1096" s="10"/>
      <c r="E1096" s="9" t="s">
        <v>353</v>
      </c>
      <c r="F1096" s="1">
        <v>1</v>
      </c>
      <c r="G1096" s="1">
        <f t="shared" si="79"/>
        <v>42</v>
      </c>
      <c r="H1096" s="1" t="str">
        <f t="shared" si="80"/>
        <v>insert into catInformation select 2015,'Nombre del Aval 15. Para creditos grupales',0,1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ht="15.75" customHeight="1">
      <c r="A1097" s="1">
        <v>2016</v>
      </c>
      <c r="B1097" s="9" t="s">
        <v>2730</v>
      </c>
      <c r="C1097" s="18" t="s">
        <v>354</v>
      </c>
      <c r="D1097" s="10"/>
      <c r="E1097" s="9" t="s">
        <v>355</v>
      </c>
      <c r="F1097" s="1">
        <v>1</v>
      </c>
      <c r="G1097" s="1">
        <f t="shared" si="79"/>
        <v>42</v>
      </c>
      <c r="H1097" s="1" t="str">
        <f t="shared" si="80"/>
        <v>insert into catInformation select 2016,'Nombre del Aval 16. Para creditos grupales',0,1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ht="15.75" customHeight="1">
      <c r="A1098" s="1">
        <v>2017</v>
      </c>
      <c r="B1098" s="9" t="s">
        <v>2731</v>
      </c>
      <c r="C1098" s="18" t="s">
        <v>356</v>
      </c>
      <c r="D1098" s="10"/>
      <c r="E1098" s="9" t="s">
        <v>357</v>
      </c>
      <c r="F1098" s="1">
        <v>1</v>
      </c>
      <c r="G1098" s="1">
        <f t="shared" si="79"/>
        <v>42</v>
      </c>
      <c r="H1098" s="1" t="str">
        <f t="shared" si="80"/>
        <v>insert into catInformation select 2017,'Nombre del Aval 17. Para creditos grupales',0,1</v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ht="15.75" customHeight="1">
      <c r="A1099" s="1">
        <v>2018</v>
      </c>
      <c r="B1099" s="9" t="s">
        <v>2732</v>
      </c>
      <c r="C1099" s="18" t="s">
        <v>358</v>
      </c>
      <c r="D1099" s="10"/>
      <c r="E1099" s="9" t="s">
        <v>359</v>
      </c>
      <c r="F1099" s="1">
        <v>1</v>
      </c>
      <c r="G1099" s="1">
        <f t="shared" si="79"/>
        <v>42</v>
      </c>
      <c r="H1099" s="1" t="str">
        <f t="shared" si="80"/>
        <v>insert into catInformation select 2018,'Nombre del Aval 18. Para creditos grupales',0,1</v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ht="15.75" customHeight="1">
      <c r="A1100" s="1">
        <v>2019</v>
      </c>
      <c r="B1100" s="9" t="s">
        <v>2733</v>
      </c>
      <c r="C1100" s="18" t="s">
        <v>360</v>
      </c>
      <c r="D1100" s="10"/>
      <c r="E1100" s="9" t="s">
        <v>361</v>
      </c>
      <c r="F1100" s="1">
        <v>1</v>
      </c>
      <c r="G1100" s="1">
        <f t="shared" si="79"/>
        <v>42</v>
      </c>
      <c r="H1100" s="1" t="str">
        <f t="shared" si="80"/>
        <v>insert into catInformation select 2019,'Nombre del Aval 19. Para creditos grupales',0,1</v>
      </c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ht="15.75" customHeight="1">
      <c r="A1101" s="1">
        <v>2020</v>
      </c>
      <c r="B1101" s="9" t="s">
        <v>2734</v>
      </c>
      <c r="C1101" s="18" t="s">
        <v>362</v>
      </c>
      <c r="D1101" s="10"/>
      <c r="E1101" s="9" t="s">
        <v>363</v>
      </c>
      <c r="F1101" s="1">
        <v>1</v>
      </c>
      <c r="G1101" s="1">
        <f t="shared" si="79"/>
        <v>42</v>
      </c>
      <c r="H1101" s="1" t="str">
        <f t="shared" si="80"/>
        <v>insert into catInformation select 2020,'Nombre del Aval 20. Para creditos grupales',0,1</v>
      </c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ht="15.75" customHeight="1">
      <c r="A1102" s="1">
        <v>2021</v>
      </c>
      <c r="B1102" s="9" t="s">
        <v>2735</v>
      </c>
      <c r="C1102" s="18" t="s">
        <v>364</v>
      </c>
      <c r="D1102" s="10"/>
      <c r="E1102" s="9" t="s">
        <v>365</v>
      </c>
      <c r="F1102" s="1">
        <v>1</v>
      </c>
      <c r="G1102" s="1">
        <f t="shared" si="79"/>
        <v>42</v>
      </c>
      <c r="H1102" s="1" t="str">
        <f t="shared" si="80"/>
        <v>insert into catInformation select 2021,'Nombre del Aval 21. Para creditos grupales',0,1</v>
      </c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ht="15.75" customHeight="1">
      <c r="A1103" s="1">
        <v>2022</v>
      </c>
      <c r="B1103" s="9" t="s">
        <v>2736</v>
      </c>
      <c r="C1103" s="18" t="s">
        <v>366</v>
      </c>
      <c r="D1103" s="10"/>
      <c r="E1103" s="9" t="s">
        <v>367</v>
      </c>
      <c r="F1103" s="1">
        <v>1</v>
      </c>
      <c r="G1103" s="1">
        <f t="shared" si="79"/>
        <v>42</v>
      </c>
      <c r="H1103" s="1" t="str">
        <f t="shared" si="80"/>
        <v>insert into catInformation select 2022,'Nombre del Aval 22. Para creditos grupales',0,1</v>
      </c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ht="15.75" customHeight="1">
      <c r="A1104" s="1">
        <v>2023</v>
      </c>
      <c r="B1104" s="9" t="s">
        <v>2737</v>
      </c>
      <c r="C1104" s="18" t="s">
        <v>368</v>
      </c>
      <c r="D1104" s="10"/>
      <c r="E1104" s="9" t="s">
        <v>369</v>
      </c>
      <c r="F1104" s="1">
        <v>1</v>
      </c>
      <c r="G1104" s="1">
        <f t="shared" si="79"/>
        <v>42</v>
      </c>
      <c r="H1104" s="1" t="str">
        <f t="shared" si="80"/>
        <v>insert into catInformation select 2023,'Nombre del Aval 23. Para creditos grupales',0,1</v>
      </c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ht="15.75" customHeight="1">
      <c r="A1105" s="1">
        <v>2024</v>
      </c>
      <c r="B1105" s="9" t="s">
        <v>2738</v>
      </c>
      <c r="C1105" s="18" t="s">
        <v>370</v>
      </c>
      <c r="D1105" s="10"/>
      <c r="E1105" s="9" t="s">
        <v>371</v>
      </c>
      <c r="F1105" s="1">
        <v>1</v>
      </c>
      <c r="G1105" s="1">
        <f t="shared" si="79"/>
        <v>42</v>
      </c>
      <c r="H1105" s="1" t="str">
        <f t="shared" si="80"/>
        <v>insert into catInformation select 2024,'Nombre del Aval 24. Para creditos grupales',0,1</v>
      </c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ht="15.75" customHeight="1">
      <c r="A1106" s="1">
        <v>2025</v>
      </c>
      <c r="B1106" s="9" t="s">
        <v>2739</v>
      </c>
      <c r="C1106" s="18" t="s">
        <v>372</v>
      </c>
      <c r="D1106" s="10"/>
      <c r="E1106" s="9" t="s">
        <v>373</v>
      </c>
      <c r="F1106" s="1">
        <v>1</v>
      </c>
      <c r="G1106" s="1">
        <f t="shared" si="79"/>
        <v>42</v>
      </c>
      <c r="H1106" s="1" t="str">
        <f t="shared" si="80"/>
        <v>insert into catInformation select 2025,'Nombre del Aval 25. Para creditos grupales',0,1</v>
      </c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ht="15.75" customHeight="1">
      <c r="A1107" s="1">
        <v>2026</v>
      </c>
      <c r="B1107" s="9" t="s">
        <v>2740</v>
      </c>
      <c r="C1107" s="18" t="s">
        <v>374</v>
      </c>
      <c r="D1107" s="10"/>
      <c r="E1107" s="9" t="s">
        <v>375</v>
      </c>
      <c r="F1107" s="1">
        <v>1</v>
      </c>
      <c r="G1107" s="1">
        <f t="shared" si="79"/>
        <v>42</v>
      </c>
      <c r="H1107" s="1" t="str">
        <f t="shared" si="80"/>
        <v>insert into catInformation select 2026,'Nombre del Aval 26. Para creditos grupales',0,1</v>
      </c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ht="15.75" customHeight="1">
      <c r="A1108" s="1">
        <v>2027</v>
      </c>
      <c r="B1108" s="9" t="s">
        <v>2741</v>
      </c>
      <c r="C1108" s="18" t="s">
        <v>376</v>
      </c>
      <c r="D1108" s="10"/>
      <c r="E1108" s="9" t="s">
        <v>377</v>
      </c>
      <c r="F1108" s="1">
        <v>1</v>
      </c>
      <c r="G1108" s="1">
        <f t="shared" si="79"/>
        <v>42</v>
      </c>
      <c r="H1108" s="1" t="str">
        <f t="shared" si="80"/>
        <v>insert into catInformation select 2027,'Nombre del Aval 27. Para creditos grupales',0,1</v>
      </c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ht="15.75" customHeight="1">
      <c r="A1109" s="1">
        <v>2028</v>
      </c>
      <c r="B1109" s="9" t="s">
        <v>2742</v>
      </c>
      <c r="C1109" s="18" t="s">
        <v>378</v>
      </c>
      <c r="D1109" s="10"/>
      <c r="E1109" s="9" t="s">
        <v>379</v>
      </c>
      <c r="F1109" s="1">
        <v>1</v>
      </c>
      <c r="G1109" s="1">
        <f t="shared" si="79"/>
        <v>42</v>
      </c>
      <c r="H1109" s="1" t="str">
        <f t="shared" si="80"/>
        <v>insert into catInformation select 2028,'Nombre del Aval 28. Para creditos grupales',0,1</v>
      </c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ht="15.75" customHeight="1">
      <c r="A1110" s="1">
        <v>2029</v>
      </c>
      <c r="B1110" s="9" t="s">
        <v>2743</v>
      </c>
      <c r="C1110" s="18" t="s">
        <v>380</v>
      </c>
      <c r="D1110" s="10"/>
      <c r="E1110" s="9" t="s">
        <v>381</v>
      </c>
      <c r="F1110" s="1">
        <v>1</v>
      </c>
      <c r="G1110" s="1">
        <f t="shared" si="79"/>
        <v>42</v>
      </c>
      <c r="H1110" s="1" t="str">
        <f t="shared" si="80"/>
        <v>insert into catInformation select 2029,'Nombre del Aval 29. Para creditos grupales',0,1</v>
      </c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ht="15.75" customHeight="1">
      <c r="A1111" s="1">
        <v>2030</v>
      </c>
      <c r="B1111" s="9" t="s">
        <v>2744</v>
      </c>
      <c r="C1111" s="18" t="s">
        <v>382</v>
      </c>
      <c r="D1111" s="10"/>
      <c r="E1111" s="9" t="s">
        <v>383</v>
      </c>
      <c r="F1111" s="1">
        <v>1</v>
      </c>
      <c r="G1111" s="1">
        <f t="shared" si="79"/>
        <v>42</v>
      </c>
      <c r="H1111" s="1" t="str">
        <f t="shared" si="80"/>
        <v>insert into catInformation select 2030,'Nombre del Aval 30. Para creditos grupales',0,1</v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ht="15.75" customHeight="1">
      <c r="A1112" s="1">
        <v>2031</v>
      </c>
      <c r="B1112" s="9" t="s">
        <v>2745</v>
      </c>
      <c r="C1112" s="18" t="s">
        <v>384</v>
      </c>
      <c r="D1112" s="10"/>
      <c r="E1112" s="9" t="s">
        <v>385</v>
      </c>
      <c r="F1112" s="1">
        <v>1</v>
      </c>
      <c r="G1112" s="1">
        <f t="shared" si="79"/>
        <v>42</v>
      </c>
      <c r="H1112" s="1" t="str">
        <f t="shared" si="80"/>
        <v>insert into catInformation select 2031,'Nombre del Aval 31. Para creditos grupales',0,1</v>
      </c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ht="15.75" customHeight="1">
      <c r="A1113" s="1">
        <v>2032</v>
      </c>
      <c r="B1113" s="9" t="s">
        <v>2746</v>
      </c>
      <c r="C1113" s="18" t="s">
        <v>386</v>
      </c>
      <c r="D1113" s="10"/>
      <c r="E1113" s="9" t="s">
        <v>387</v>
      </c>
      <c r="F1113" s="1">
        <v>1</v>
      </c>
      <c r="G1113" s="1">
        <f t="shared" si="79"/>
        <v>42</v>
      </c>
      <c r="H1113" s="1" t="str">
        <f t="shared" si="80"/>
        <v>insert into catInformation select 2032,'Nombre del Aval 32. Para creditos grupales',0,1</v>
      </c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ht="15.75" customHeight="1">
      <c r="A1114" s="1">
        <v>2033</v>
      </c>
      <c r="B1114" s="9" t="s">
        <v>2747</v>
      </c>
      <c r="C1114" s="18" t="s">
        <v>388</v>
      </c>
      <c r="D1114" s="10"/>
      <c r="E1114" s="9" t="s">
        <v>389</v>
      </c>
      <c r="F1114" s="1">
        <v>1</v>
      </c>
      <c r="G1114" s="1">
        <f t="shared" si="79"/>
        <v>42</v>
      </c>
      <c r="H1114" s="1" t="str">
        <f t="shared" si="80"/>
        <v>insert into catInformation select 2033,'Nombre del Aval 33. Para creditos grupales',0,1</v>
      </c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ht="15.75" customHeight="1">
      <c r="A1115" s="1">
        <v>2034</v>
      </c>
      <c r="B1115" s="9" t="s">
        <v>2748</v>
      </c>
      <c r="C1115" s="18" t="s">
        <v>390</v>
      </c>
      <c r="D1115" s="10"/>
      <c r="E1115" s="9" t="s">
        <v>391</v>
      </c>
      <c r="F1115" s="1">
        <v>1</v>
      </c>
      <c r="G1115" s="1">
        <f t="shared" si="79"/>
        <v>42</v>
      </c>
      <c r="H1115" s="1" t="str">
        <f t="shared" si="80"/>
        <v>insert into catInformation select 2034,'Nombre del Aval 34. Para creditos grupales',0,1</v>
      </c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ht="15.75" customHeight="1">
      <c r="A1116" s="1">
        <v>2035</v>
      </c>
      <c r="B1116" s="9" t="s">
        <v>2749</v>
      </c>
      <c r="C1116" s="18" t="s">
        <v>392</v>
      </c>
      <c r="D1116" s="10"/>
      <c r="E1116" s="9" t="s">
        <v>393</v>
      </c>
      <c r="F1116" s="1">
        <v>1</v>
      </c>
      <c r="G1116" s="1">
        <f t="shared" si="79"/>
        <v>42</v>
      </c>
      <c r="H1116" s="1" t="str">
        <f t="shared" si="80"/>
        <v>insert into catInformation select 2035,'Nombre del Aval 35. Para creditos grupales',0,1</v>
      </c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ht="15.75" customHeight="1">
      <c r="A1117" s="1">
        <v>2036</v>
      </c>
      <c r="B1117" s="9" t="s">
        <v>2750</v>
      </c>
      <c r="C1117" s="18" t="s">
        <v>394</v>
      </c>
      <c r="D1117" s="10"/>
      <c r="E1117" s="9" t="s">
        <v>395</v>
      </c>
      <c r="F1117" s="1">
        <v>1</v>
      </c>
      <c r="G1117" s="1">
        <f t="shared" si="79"/>
        <v>42</v>
      </c>
      <c r="H1117" s="1" t="str">
        <f t="shared" si="80"/>
        <v>insert into catInformation select 2036,'Nombre del Aval 36. Para creditos grupales',0,1</v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ht="15.75" customHeight="1">
      <c r="A1118" s="1">
        <v>2037</v>
      </c>
      <c r="B1118" s="9" t="s">
        <v>2751</v>
      </c>
      <c r="C1118" s="18" t="s">
        <v>396</v>
      </c>
      <c r="D1118" s="10"/>
      <c r="E1118" s="9" t="s">
        <v>397</v>
      </c>
      <c r="F1118" s="1">
        <v>1</v>
      </c>
      <c r="G1118" s="1">
        <f t="shared" si="79"/>
        <v>42</v>
      </c>
      <c r="H1118" s="1" t="str">
        <f t="shared" si="80"/>
        <v>insert into catInformation select 2037,'Nombre del Aval 37. Para creditos grupales',0,1</v>
      </c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ht="15.75" customHeight="1">
      <c r="A1119" s="1">
        <v>2038</v>
      </c>
      <c r="B1119" s="9" t="s">
        <v>2752</v>
      </c>
      <c r="C1119" s="18" t="s">
        <v>398</v>
      </c>
      <c r="D1119" s="10"/>
      <c r="E1119" s="9" t="s">
        <v>399</v>
      </c>
      <c r="F1119" s="1">
        <v>1</v>
      </c>
      <c r="G1119" s="1">
        <f t="shared" si="79"/>
        <v>42</v>
      </c>
      <c r="H1119" s="1" t="str">
        <f t="shared" si="80"/>
        <v>insert into catInformation select 2038,'Nombre del Aval 38. Para creditos grupales',0,1</v>
      </c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ht="15.75" customHeight="1">
      <c r="A1120" s="1">
        <v>2039</v>
      </c>
      <c r="B1120" s="9" t="s">
        <v>2753</v>
      </c>
      <c r="C1120" s="18" t="s">
        <v>400</v>
      </c>
      <c r="D1120" s="10"/>
      <c r="E1120" s="9" t="s">
        <v>401</v>
      </c>
      <c r="F1120" s="1">
        <v>1</v>
      </c>
      <c r="G1120" s="1">
        <f t="shared" si="79"/>
        <v>42</v>
      </c>
      <c r="H1120" s="1" t="str">
        <f t="shared" si="80"/>
        <v>insert into catInformation select 2039,'Nombre del Aval 39. Para creditos grupales',0,1</v>
      </c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ht="15.75" customHeight="1">
      <c r="A1121" s="48">
        <v>2040</v>
      </c>
      <c r="B1121" s="41" t="s">
        <v>2754</v>
      </c>
      <c r="C1121" s="53" t="s">
        <v>402</v>
      </c>
      <c r="D1121" s="42"/>
      <c r="E1121" s="41" t="s">
        <v>403</v>
      </c>
      <c r="F1121" s="1">
        <v>1</v>
      </c>
      <c r="G1121" s="1">
        <f t="shared" si="79"/>
        <v>42</v>
      </c>
      <c r="H1121" s="1" t="str">
        <f t="shared" si="80"/>
        <v>insert into catInformation select 2040,'Nombre del Aval 40. Para creditos grupales',0,1</v>
      </c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ht="15.75" customHeight="1">
      <c r="A1122" s="51">
        <v>2101</v>
      </c>
      <c r="B1122" s="7" t="s">
        <v>2755</v>
      </c>
      <c r="C1122" s="52" t="s">
        <v>404</v>
      </c>
      <c r="D1122" s="8"/>
      <c r="E1122" s="7" t="s">
        <v>405</v>
      </c>
      <c r="F1122" s="1">
        <v>1</v>
      </c>
      <c r="G1122" s="1">
        <f t="shared" si="79"/>
        <v>45</v>
      </c>
      <c r="H1122" s="1" t="str">
        <f t="shared" si="80"/>
        <v>insert into catInformation select 2101,'Domicilio del Aval 01. Para creditos grupales',0,1</v>
      </c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ht="15.75" customHeight="1">
      <c r="A1123" s="1">
        <v>2102</v>
      </c>
      <c r="B1123" s="9" t="s">
        <v>2756</v>
      </c>
      <c r="C1123" s="18" t="s">
        <v>406</v>
      </c>
      <c r="D1123" s="10"/>
      <c r="E1123" s="9" t="s">
        <v>407</v>
      </c>
      <c r="F1123" s="1">
        <v>1</v>
      </c>
      <c r="G1123" s="1">
        <f t="shared" si="79"/>
        <v>45</v>
      </c>
      <c r="H1123" s="1" t="str">
        <f t="shared" si="80"/>
        <v>insert into catInformation select 2102,'Domicilio del Aval 02. Para creditos grupales',0,1</v>
      </c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ht="15.75" customHeight="1">
      <c r="A1124" s="1">
        <v>2103</v>
      </c>
      <c r="B1124" s="9" t="s">
        <v>2757</v>
      </c>
      <c r="C1124" s="18" t="s">
        <v>408</v>
      </c>
      <c r="D1124" s="10"/>
      <c r="E1124" s="9" t="s">
        <v>409</v>
      </c>
      <c r="F1124" s="1">
        <v>1</v>
      </c>
      <c r="G1124" s="1">
        <f t="shared" si="79"/>
        <v>45</v>
      </c>
      <c r="H1124" s="1" t="str">
        <f t="shared" si="80"/>
        <v>insert into catInformation select 2103,'Domicilio del Aval 03. Para creditos grupales',0,1</v>
      </c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ht="15.75" customHeight="1">
      <c r="A1125" s="1">
        <v>2104</v>
      </c>
      <c r="B1125" s="9" t="s">
        <v>2758</v>
      </c>
      <c r="C1125" s="18" t="s">
        <v>410</v>
      </c>
      <c r="D1125" s="10"/>
      <c r="E1125" s="9" t="s">
        <v>411</v>
      </c>
      <c r="F1125" s="1">
        <v>1</v>
      </c>
      <c r="G1125" s="1">
        <f t="shared" si="79"/>
        <v>45</v>
      </c>
      <c r="H1125" s="1" t="str">
        <f t="shared" si="80"/>
        <v>insert into catInformation select 2104,'Domicilio del Aval 04. Para creditos grupales',0,1</v>
      </c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ht="15.75" customHeight="1">
      <c r="A1126" s="1">
        <v>2105</v>
      </c>
      <c r="B1126" s="9" t="s">
        <v>2759</v>
      </c>
      <c r="C1126" s="18" t="s">
        <v>412</v>
      </c>
      <c r="D1126" s="10"/>
      <c r="E1126" s="9" t="s">
        <v>413</v>
      </c>
      <c r="F1126" s="1">
        <v>1</v>
      </c>
      <c r="G1126" s="1">
        <f t="shared" si="79"/>
        <v>45</v>
      </c>
      <c r="H1126" s="1" t="str">
        <f t="shared" si="80"/>
        <v>insert into catInformation select 2105,'Domicilio del Aval 05. Para creditos grupales',0,1</v>
      </c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ht="15.75" customHeight="1">
      <c r="A1127" s="1">
        <v>2106</v>
      </c>
      <c r="B1127" s="9" t="s">
        <v>2760</v>
      </c>
      <c r="C1127" s="18" t="s">
        <v>414</v>
      </c>
      <c r="D1127" s="10"/>
      <c r="E1127" s="9" t="s">
        <v>415</v>
      </c>
      <c r="F1127" s="1">
        <v>1</v>
      </c>
      <c r="G1127" s="1">
        <f t="shared" si="79"/>
        <v>45</v>
      </c>
      <c r="H1127" s="1" t="str">
        <f t="shared" si="80"/>
        <v>insert into catInformation select 2106,'Domicilio del Aval 06. Para creditos grupales',0,1</v>
      </c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ht="15.75" customHeight="1">
      <c r="A1128" s="1">
        <v>2107</v>
      </c>
      <c r="B1128" s="9" t="s">
        <v>2761</v>
      </c>
      <c r="C1128" s="18" t="s">
        <v>416</v>
      </c>
      <c r="D1128" s="10"/>
      <c r="E1128" s="9" t="s">
        <v>417</v>
      </c>
      <c r="F1128" s="1">
        <v>1</v>
      </c>
      <c r="G1128" s="1">
        <f t="shared" si="79"/>
        <v>45</v>
      </c>
      <c r="H1128" s="1" t="str">
        <f t="shared" si="80"/>
        <v>insert into catInformation select 2107,'Domicilio del Aval 07. Para creditos grupales',0,1</v>
      </c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ht="15.75" customHeight="1">
      <c r="A1129" s="1">
        <v>2108</v>
      </c>
      <c r="B1129" s="9" t="s">
        <v>2762</v>
      </c>
      <c r="C1129" s="18" t="s">
        <v>418</v>
      </c>
      <c r="D1129" s="10"/>
      <c r="E1129" s="9" t="s">
        <v>419</v>
      </c>
      <c r="F1129" s="1">
        <v>1</v>
      </c>
      <c r="G1129" s="1">
        <f t="shared" si="79"/>
        <v>45</v>
      </c>
      <c r="H1129" s="1" t="str">
        <f t="shared" si="80"/>
        <v>insert into catInformation select 2108,'Domicilio del Aval 08. Para creditos grupales',0,1</v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ht="15.75" customHeight="1">
      <c r="A1130" s="1">
        <v>2109</v>
      </c>
      <c r="B1130" s="9" t="s">
        <v>2763</v>
      </c>
      <c r="C1130" s="18" t="s">
        <v>420</v>
      </c>
      <c r="D1130" s="10"/>
      <c r="E1130" s="9" t="s">
        <v>421</v>
      </c>
      <c r="F1130" s="1">
        <v>1</v>
      </c>
      <c r="G1130" s="1">
        <f t="shared" si="79"/>
        <v>45</v>
      </c>
      <c r="H1130" s="1" t="str">
        <f t="shared" si="80"/>
        <v>insert into catInformation select 2109,'Domicilio del Aval 09. Para creditos grupales',0,1</v>
      </c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ht="15.75" customHeight="1">
      <c r="A1131" s="1">
        <v>2110</v>
      </c>
      <c r="B1131" s="9" t="s">
        <v>2764</v>
      </c>
      <c r="C1131" s="18" t="s">
        <v>422</v>
      </c>
      <c r="D1131" s="10"/>
      <c r="E1131" s="9" t="s">
        <v>423</v>
      </c>
      <c r="F1131" s="1">
        <v>1</v>
      </c>
      <c r="G1131" s="1">
        <f t="shared" si="79"/>
        <v>45</v>
      </c>
      <c r="H1131" s="1" t="str">
        <f t="shared" si="80"/>
        <v>insert into catInformation select 2110,'Domicilio del Aval 10. Para creditos grupales',0,1</v>
      </c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ht="15.75" customHeight="1">
      <c r="A1132" s="1">
        <v>2111</v>
      </c>
      <c r="B1132" s="9" t="s">
        <v>2765</v>
      </c>
      <c r="C1132" s="18" t="s">
        <v>424</v>
      </c>
      <c r="D1132" s="10"/>
      <c r="E1132" s="9" t="s">
        <v>425</v>
      </c>
      <c r="F1132" s="1">
        <v>1</v>
      </c>
      <c r="G1132" s="1">
        <f t="shared" si="79"/>
        <v>45</v>
      </c>
      <c r="H1132" s="1" t="str">
        <f t="shared" si="80"/>
        <v>insert into catInformation select 2111,'Domicilio del Aval 11. Para creditos grupales',0,1</v>
      </c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ht="15.75" customHeight="1">
      <c r="A1133" s="1">
        <v>2112</v>
      </c>
      <c r="B1133" s="9" t="s">
        <v>2766</v>
      </c>
      <c r="C1133" s="18" t="s">
        <v>426</v>
      </c>
      <c r="D1133" s="10"/>
      <c r="E1133" s="9" t="s">
        <v>427</v>
      </c>
      <c r="F1133" s="1">
        <v>1</v>
      </c>
      <c r="G1133" s="1">
        <f t="shared" si="79"/>
        <v>45</v>
      </c>
      <c r="H1133" s="1" t="str">
        <f t="shared" si="80"/>
        <v>insert into catInformation select 2112,'Domicilio del Aval 12. Para creditos grupales',0,1</v>
      </c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ht="15.75" customHeight="1">
      <c r="A1134" s="1">
        <v>2113</v>
      </c>
      <c r="B1134" s="9" t="s">
        <v>2767</v>
      </c>
      <c r="C1134" s="18" t="s">
        <v>428</v>
      </c>
      <c r="D1134" s="10"/>
      <c r="E1134" s="9" t="s">
        <v>429</v>
      </c>
      <c r="F1134" s="1">
        <v>1</v>
      </c>
      <c r="G1134" s="1">
        <f t="shared" si="79"/>
        <v>45</v>
      </c>
      <c r="H1134" s="1" t="str">
        <f t="shared" si="80"/>
        <v>insert into catInformation select 2113,'Domicilio del Aval 13. Para creditos grupales',0,1</v>
      </c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ht="15.75" customHeight="1">
      <c r="A1135" s="1">
        <v>2114</v>
      </c>
      <c r="B1135" s="9" t="s">
        <v>2768</v>
      </c>
      <c r="C1135" s="18" t="s">
        <v>430</v>
      </c>
      <c r="D1135" s="10"/>
      <c r="E1135" s="9" t="s">
        <v>431</v>
      </c>
      <c r="F1135" s="1">
        <v>1</v>
      </c>
      <c r="G1135" s="1">
        <f t="shared" si="79"/>
        <v>45</v>
      </c>
      <c r="H1135" s="1" t="str">
        <f t="shared" si="80"/>
        <v>insert into catInformation select 2114,'Domicilio del Aval 14. Para creditos grupales',0,1</v>
      </c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ht="15.75" customHeight="1">
      <c r="A1136" s="1">
        <v>2115</v>
      </c>
      <c r="B1136" s="9" t="s">
        <v>2769</v>
      </c>
      <c r="C1136" s="18" t="s">
        <v>432</v>
      </c>
      <c r="D1136" s="10"/>
      <c r="E1136" s="9" t="s">
        <v>433</v>
      </c>
      <c r="F1136" s="1">
        <v>1</v>
      </c>
      <c r="G1136" s="1">
        <f t="shared" si="79"/>
        <v>45</v>
      </c>
      <c r="H1136" s="1" t="str">
        <f t="shared" si="80"/>
        <v>insert into catInformation select 2115,'Domicilio del Aval 15. Para creditos grupales',0,1</v>
      </c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ht="15.75" customHeight="1">
      <c r="A1137" s="1">
        <v>2116</v>
      </c>
      <c r="B1137" s="9" t="s">
        <v>2770</v>
      </c>
      <c r="C1137" s="18" t="s">
        <v>434</v>
      </c>
      <c r="D1137" s="10"/>
      <c r="E1137" s="9" t="s">
        <v>435</v>
      </c>
      <c r="F1137" s="1">
        <v>1</v>
      </c>
      <c r="G1137" s="1">
        <f t="shared" si="79"/>
        <v>45</v>
      </c>
      <c r="H1137" s="1" t="str">
        <f t="shared" si="80"/>
        <v>insert into catInformation select 2116,'Domicilio del Aval 16. Para creditos grupales',0,1</v>
      </c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ht="15.75" customHeight="1">
      <c r="A1138" s="1">
        <v>2117</v>
      </c>
      <c r="B1138" s="9" t="s">
        <v>2771</v>
      </c>
      <c r="C1138" s="18" t="s">
        <v>436</v>
      </c>
      <c r="D1138" s="10"/>
      <c r="E1138" s="9" t="s">
        <v>437</v>
      </c>
      <c r="F1138" s="1">
        <v>1</v>
      </c>
      <c r="G1138" s="1">
        <f t="shared" si="79"/>
        <v>45</v>
      </c>
      <c r="H1138" s="1" t="str">
        <f t="shared" si="80"/>
        <v>insert into catInformation select 2117,'Domicilio del Aval 17. Para creditos grupales',0,1</v>
      </c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ht="15.75" customHeight="1">
      <c r="A1139" s="1">
        <v>2118</v>
      </c>
      <c r="B1139" s="9" t="s">
        <v>2772</v>
      </c>
      <c r="C1139" s="18" t="s">
        <v>438</v>
      </c>
      <c r="D1139" s="10"/>
      <c r="E1139" s="9" t="s">
        <v>439</v>
      </c>
      <c r="F1139" s="1">
        <v>1</v>
      </c>
      <c r="G1139" s="1">
        <f t="shared" si="79"/>
        <v>45</v>
      </c>
      <c r="H1139" s="1" t="str">
        <f t="shared" si="80"/>
        <v>insert into catInformation select 2118,'Domicilio del Aval 18. Para creditos grupales',0,1</v>
      </c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ht="15.75" customHeight="1">
      <c r="A1140" s="1">
        <v>2119</v>
      </c>
      <c r="B1140" s="9" t="s">
        <v>2773</v>
      </c>
      <c r="C1140" s="18" t="s">
        <v>440</v>
      </c>
      <c r="D1140" s="10"/>
      <c r="E1140" s="9" t="s">
        <v>441</v>
      </c>
      <c r="F1140" s="1">
        <v>1</v>
      </c>
      <c r="G1140" s="1">
        <f t="shared" si="79"/>
        <v>45</v>
      </c>
      <c r="H1140" s="1" t="str">
        <f t="shared" si="80"/>
        <v>insert into catInformation select 2119,'Domicilio del Aval 19. Para creditos grupales',0,1</v>
      </c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ht="15.75" customHeight="1">
      <c r="A1141" s="1">
        <v>2120</v>
      </c>
      <c r="B1141" s="9" t="s">
        <v>2774</v>
      </c>
      <c r="C1141" s="18" t="s">
        <v>442</v>
      </c>
      <c r="D1141" s="10"/>
      <c r="E1141" s="9" t="s">
        <v>443</v>
      </c>
      <c r="F1141" s="1">
        <v>1</v>
      </c>
      <c r="G1141" s="1">
        <f t="shared" si="79"/>
        <v>45</v>
      </c>
      <c r="H1141" s="1" t="str">
        <f t="shared" si="80"/>
        <v>insert into catInformation select 2120,'Domicilio del Aval 20. Para creditos grupales',0,1</v>
      </c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ht="15.75" customHeight="1">
      <c r="A1142" s="1">
        <v>2121</v>
      </c>
      <c r="B1142" s="9" t="s">
        <v>2775</v>
      </c>
      <c r="C1142" s="18" t="s">
        <v>444</v>
      </c>
      <c r="D1142" s="10"/>
      <c r="E1142" s="9" t="s">
        <v>445</v>
      </c>
      <c r="F1142" s="1">
        <v>1</v>
      </c>
      <c r="G1142" s="1">
        <f t="shared" si="79"/>
        <v>45</v>
      </c>
      <c r="H1142" s="1" t="str">
        <f t="shared" si="80"/>
        <v>insert into catInformation select 2121,'Domicilio del Aval 21. Para creditos grupales',0,1</v>
      </c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ht="15.75" customHeight="1">
      <c r="A1143" s="1">
        <v>2122</v>
      </c>
      <c r="B1143" s="9" t="s">
        <v>2776</v>
      </c>
      <c r="C1143" s="18" t="s">
        <v>446</v>
      </c>
      <c r="D1143" s="10"/>
      <c r="E1143" s="9" t="s">
        <v>447</v>
      </c>
      <c r="F1143" s="1">
        <v>1</v>
      </c>
      <c r="G1143" s="1">
        <f t="shared" si="79"/>
        <v>45</v>
      </c>
      <c r="H1143" s="1" t="str">
        <f t="shared" si="80"/>
        <v>insert into catInformation select 2122,'Domicilio del Aval 22. Para creditos grupales',0,1</v>
      </c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ht="15.75" customHeight="1">
      <c r="A1144" s="1">
        <v>2123</v>
      </c>
      <c r="B1144" s="9" t="s">
        <v>2777</v>
      </c>
      <c r="C1144" s="18" t="s">
        <v>448</v>
      </c>
      <c r="D1144" s="10"/>
      <c r="E1144" s="9" t="s">
        <v>449</v>
      </c>
      <c r="F1144" s="1">
        <v>1</v>
      </c>
      <c r="G1144" s="1">
        <f t="shared" si="79"/>
        <v>45</v>
      </c>
      <c r="H1144" s="1" t="str">
        <f t="shared" si="80"/>
        <v>insert into catInformation select 2123,'Domicilio del Aval 23. Para creditos grupales',0,1</v>
      </c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ht="15.75" customHeight="1">
      <c r="A1145" s="1">
        <v>2124</v>
      </c>
      <c r="B1145" s="9" t="s">
        <v>2778</v>
      </c>
      <c r="C1145" s="18" t="s">
        <v>450</v>
      </c>
      <c r="D1145" s="10"/>
      <c r="E1145" s="9" t="s">
        <v>451</v>
      </c>
      <c r="F1145" s="1">
        <v>1</v>
      </c>
      <c r="G1145" s="1">
        <f t="shared" si="79"/>
        <v>45</v>
      </c>
      <c r="H1145" s="1" t="str">
        <f t="shared" si="80"/>
        <v>insert into catInformation select 2124,'Domicilio del Aval 24. Para creditos grupales',0,1</v>
      </c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ht="15.75" customHeight="1">
      <c r="A1146" s="1">
        <v>2125</v>
      </c>
      <c r="B1146" s="9" t="s">
        <v>2779</v>
      </c>
      <c r="C1146" s="18" t="s">
        <v>452</v>
      </c>
      <c r="D1146" s="10"/>
      <c r="E1146" s="9" t="s">
        <v>453</v>
      </c>
      <c r="F1146" s="1">
        <v>1</v>
      </c>
      <c r="G1146" s="1">
        <f t="shared" si="79"/>
        <v>45</v>
      </c>
      <c r="H1146" s="1" t="str">
        <f t="shared" si="80"/>
        <v>insert into catInformation select 2125,'Domicilio del Aval 25. Para creditos grupales',0,1</v>
      </c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ht="15.75" customHeight="1">
      <c r="A1147" s="1">
        <v>2126</v>
      </c>
      <c r="B1147" s="9" t="s">
        <v>2780</v>
      </c>
      <c r="C1147" s="18" t="s">
        <v>454</v>
      </c>
      <c r="D1147" s="10"/>
      <c r="E1147" s="9" t="s">
        <v>455</v>
      </c>
      <c r="F1147" s="1">
        <v>1</v>
      </c>
      <c r="G1147" s="1">
        <f t="shared" si="79"/>
        <v>45</v>
      </c>
      <c r="H1147" s="1" t="str">
        <f t="shared" si="80"/>
        <v>insert into catInformation select 2126,'Domicilio del Aval 26. Para creditos grupales',0,1</v>
      </c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ht="15.75" customHeight="1">
      <c r="A1148" s="1">
        <v>2127</v>
      </c>
      <c r="B1148" s="9" t="s">
        <v>2781</v>
      </c>
      <c r="C1148" s="18" t="s">
        <v>456</v>
      </c>
      <c r="D1148" s="10"/>
      <c r="E1148" s="9" t="s">
        <v>457</v>
      </c>
      <c r="F1148" s="1">
        <v>1</v>
      </c>
      <c r="G1148" s="1">
        <f t="shared" si="79"/>
        <v>45</v>
      </c>
      <c r="H1148" s="1" t="str">
        <f t="shared" si="80"/>
        <v>insert into catInformation select 2127,'Domicilio del Aval 27. Para creditos grupales',0,1</v>
      </c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ht="15.75" customHeight="1">
      <c r="A1149" s="1">
        <v>2128</v>
      </c>
      <c r="B1149" s="9" t="s">
        <v>2782</v>
      </c>
      <c r="C1149" s="18" t="s">
        <v>458</v>
      </c>
      <c r="D1149" s="10"/>
      <c r="E1149" s="9" t="s">
        <v>459</v>
      </c>
      <c r="F1149" s="1">
        <v>1</v>
      </c>
      <c r="G1149" s="1">
        <f t="shared" si="79"/>
        <v>45</v>
      </c>
      <c r="H1149" s="1" t="str">
        <f t="shared" si="80"/>
        <v>insert into catInformation select 2128,'Domicilio del Aval 28. Para creditos grupales',0,1</v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ht="15.75" customHeight="1">
      <c r="A1150" s="1">
        <v>2129</v>
      </c>
      <c r="B1150" s="9" t="s">
        <v>2783</v>
      </c>
      <c r="C1150" s="18" t="s">
        <v>460</v>
      </c>
      <c r="D1150" s="10"/>
      <c r="E1150" s="9" t="s">
        <v>461</v>
      </c>
      <c r="F1150" s="1">
        <v>1</v>
      </c>
      <c r="G1150" s="1">
        <f t="shared" si="79"/>
        <v>45</v>
      </c>
      <c r="H1150" s="1" t="str">
        <f t="shared" si="80"/>
        <v>insert into catInformation select 2129,'Domicilio del Aval 29. Para creditos grupales',0,1</v>
      </c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ht="15.75" customHeight="1">
      <c r="A1151" s="1">
        <v>2130</v>
      </c>
      <c r="B1151" s="9" t="s">
        <v>2784</v>
      </c>
      <c r="C1151" s="18" t="s">
        <v>462</v>
      </c>
      <c r="D1151" s="10"/>
      <c r="E1151" s="9" t="s">
        <v>463</v>
      </c>
      <c r="F1151" s="1">
        <v>1</v>
      </c>
      <c r="G1151" s="1">
        <f t="shared" si="79"/>
        <v>45</v>
      </c>
      <c r="H1151" s="1" t="str">
        <f t="shared" si="80"/>
        <v>insert into catInformation select 2130,'Domicilio del Aval 30. Para creditos grupales',0,1</v>
      </c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ht="15.75" customHeight="1">
      <c r="A1152" s="1">
        <v>2131</v>
      </c>
      <c r="B1152" s="9" t="s">
        <v>2785</v>
      </c>
      <c r="C1152" s="18" t="s">
        <v>464</v>
      </c>
      <c r="D1152" s="10"/>
      <c r="E1152" s="9" t="s">
        <v>465</v>
      </c>
      <c r="F1152" s="1">
        <v>1</v>
      </c>
      <c r="G1152" s="1">
        <f t="shared" si="79"/>
        <v>45</v>
      </c>
      <c r="H1152" s="1" t="str">
        <f t="shared" si="80"/>
        <v>insert into catInformation select 2131,'Domicilio del Aval 31. Para creditos grupales',0,1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ht="15.75" customHeight="1">
      <c r="A1153" s="1">
        <v>2132</v>
      </c>
      <c r="B1153" s="9" t="s">
        <v>2786</v>
      </c>
      <c r="C1153" s="18" t="s">
        <v>466</v>
      </c>
      <c r="D1153" s="10"/>
      <c r="E1153" s="9" t="s">
        <v>467</v>
      </c>
      <c r="F1153" s="1">
        <v>1</v>
      </c>
      <c r="G1153" s="1">
        <f t="shared" si="79"/>
        <v>45</v>
      </c>
      <c r="H1153" s="1" t="str">
        <f t="shared" si="80"/>
        <v>insert into catInformation select 2132,'Domicilio del Aval 32. Para creditos grupales',0,1</v>
      </c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ht="15.75" customHeight="1">
      <c r="A1154" s="1">
        <v>2133</v>
      </c>
      <c r="B1154" s="9" t="s">
        <v>2787</v>
      </c>
      <c r="C1154" s="18" t="s">
        <v>468</v>
      </c>
      <c r="D1154" s="10"/>
      <c r="E1154" s="9" t="s">
        <v>469</v>
      </c>
      <c r="F1154" s="1">
        <v>1</v>
      </c>
      <c r="G1154" s="1">
        <f t="shared" si="79"/>
        <v>45</v>
      </c>
      <c r="H1154" s="1" t="str">
        <f t="shared" si="80"/>
        <v>insert into catInformation select 2133,'Domicilio del Aval 33. Para creditos grupales',0,1</v>
      </c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ht="15.75" customHeight="1">
      <c r="A1155" s="1">
        <v>2134</v>
      </c>
      <c r="B1155" s="9" t="s">
        <v>2788</v>
      </c>
      <c r="C1155" s="18" t="s">
        <v>470</v>
      </c>
      <c r="D1155" s="11"/>
      <c r="E1155" s="9" t="s">
        <v>471</v>
      </c>
      <c r="F1155" s="1">
        <v>1</v>
      </c>
      <c r="G1155" s="1">
        <f t="shared" si="79"/>
        <v>45</v>
      </c>
      <c r="H1155" s="1" t="str">
        <f t="shared" si="80"/>
        <v>insert into catInformation select 2134,'Domicilio del Aval 34. Para creditos grupales',0,1</v>
      </c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ht="15.75" customHeight="1">
      <c r="A1156" s="1">
        <v>2135</v>
      </c>
      <c r="B1156" s="9" t="s">
        <v>2789</v>
      </c>
      <c r="C1156" s="18" t="s">
        <v>472</v>
      </c>
      <c r="D1156" s="10"/>
      <c r="E1156" s="9" t="s">
        <v>473</v>
      </c>
      <c r="F1156" s="1">
        <v>1</v>
      </c>
      <c r="G1156" s="1">
        <f t="shared" si="79"/>
        <v>45</v>
      </c>
      <c r="H1156" s="1" t="str">
        <f t="shared" si="80"/>
        <v>insert into catInformation select 2135,'Domicilio del Aval 35. Para creditos grupales',0,1</v>
      </c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ht="15.75" customHeight="1">
      <c r="A1157" s="1">
        <v>2136</v>
      </c>
      <c r="B1157" s="9" t="s">
        <v>2790</v>
      </c>
      <c r="C1157" s="18" t="s">
        <v>474</v>
      </c>
      <c r="D1157" s="10"/>
      <c r="E1157" s="9" t="s">
        <v>475</v>
      </c>
      <c r="F1157" s="1">
        <v>1</v>
      </c>
      <c r="G1157" s="1">
        <f t="shared" si="79"/>
        <v>45</v>
      </c>
      <c r="H1157" s="1" t="str">
        <f t="shared" si="80"/>
        <v>insert into catInformation select 2136,'Domicilio del Aval 36. Para creditos grupales',0,1</v>
      </c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ht="15.75" customHeight="1">
      <c r="A1158" s="1">
        <v>2137</v>
      </c>
      <c r="B1158" s="9" t="s">
        <v>2791</v>
      </c>
      <c r="C1158" s="18" t="s">
        <v>476</v>
      </c>
      <c r="D1158" s="10"/>
      <c r="E1158" s="9" t="s">
        <v>477</v>
      </c>
      <c r="F1158" s="1">
        <v>1</v>
      </c>
      <c r="G1158" s="1">
        <f t="shared" si="79"/>
        <v>45</v>
      </c>
      <c r="H1158" s="1" t="str">
        <f t="shared" si="80"/>
        <v>insert into catInformation select 2137,'Domicilio del Aval 37. Para creditos grupales',0,1</v>
      </c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ht="15.75" customHeight="1">
      <c r="A1159" s="1">
        <v>2138</v>
      </c>
      <c r="B1159" s="9" t="s">
        <v>2792</v>
      </c>
      <c r="C1159" s="18" t="s">
        <v>478</v>
      </c>
      <c r="D1159" s="10"/>
      <c r="E1159" s="9" t="s">
        <v>479</v>
      </c>
      <c r="F1159" s="1">
        <v>1</v>
      </c>
      <c r="G1159" s="1">
        <f t="shared" si="79"/>
        <v>45</v>
      </c>
      <c r="H1159" s="1" t="str">
        <f t="shared" si="80"/>
        <v>insert into catInformation select 2138,'Domicilio del Aval 38. Para creditos grupales',0,1</v>
      </c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ht="15.75" customHeight="1">
      <c r="A1160" s="1">
        <v>2139</v>
      </c>
      <c r="B1160" s="9" t="s">
        <v>2793</v>
      </c>
      <c r="C1160" s="18" t="s">
        <v>480</v>
      </c>
      <c r="D1160" s="10"/>
      <c r="E1160" s="9" t="s">
        <v>481</v>
      </c>
      <c r="F1160" s="1">
        <v>1</v>
      </c>
      <c r="G1160" s="1">
        <f t="shared" si="79"/>
        <v>45</v>
      </c>
      <c r="H1160" s="1" t="str">
        <f t="shared" si="80"/>
        <v>insert into catInformation select 2139,'Domicilio del Aval 39. Para creditos grupales',0,1</v>
      </c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ht="15.75" customHeight="1">
      <c r="A1161" s="49">
        <v>2140</v>
      </c>
      <c r="B1161" s="41" t="s">
        <v>2794</v>
      </c>
      <c r="C1161" s="53" t="s">
        <v>482</v>
      </c>
      <c r="D1161" s="42"/>
      <c r="E1161" s="41" t="s">
        <v>483</v>
      </c>
      <c r="F1161" s="1">
        <v>1</v>
      </c>
      <c r="G1161" s="1">
        <f t="shared" si="79"/>
        <v>45</v>
      </c>
      <c r="H1161" s="1" t="str">
        <f t="shared" si="80"/>
        <v>insert into catInformation select 2140,'Domicilio del Aval 40. Para creditos grupales',0,1</v>
      </c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ht="15.75" customHeight="1">
      <c r="A1162" s="1"/>
      <c r="B1162" s="1"/>
      <c r="C1162" s="1"/>
      <c r="D1162" s="2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ht="15.75" customHeight="1">
      <c r="A1163" s="24">
        <v>2201</v>
      </c>
      <c r="B1163" s="24" t="s">
        <v>2795</v>
      </c>
      <c r="C1163" s="54" t="s">
        <v>2796</v>
      </c>
      <c r="D1163" s="55"/>
      <c r="E1163" s="24" t="s">
        <v>2797</v>
      </c>
      <c r="F1163" s="1">
        <v>1</v>
      </c>
      <c r="G1163" s="1">
        <f t="shared" ref="G1163:G1198" si="81">LEN(C1163)</f>
        <v>50</v>
      </c>
      <c r="H1163" s="1" t="str">
        <f t="shared" ref="H1163:H1198" si="82">CONCATENATE("insert into catInformation select ",A1163,",'",C1163,"',0,",F1163)</f>
        <v>insert into catInformation select 2201,'Nombre del Aval o Coacreditado (Apellido y Nombre)',0,1</v>
      </c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ht="15.75" customHeight="1">
      <c r="A1164" s="24">
        <v>2202</v>
      </c>
      <c r="B1164" s="24" t="s">
        <v>2798</v>
      </c>
      <c r="C1164" s="54" t="s">
        <v>2799</v>
      </c>
      <c r="D1164" s="55"/>
      <c r="E1164" s="24" t="s">
        <v>2800</v>
      </c>
      <c r="F1164" s="1">
        <v>1</v>
      </c>
      <c r="G1164" s="1">
        <f t="shared" si="81"/>
        <v>27</v>
      </c>
      <c r="H1164" s="1" t="str">
        <f t="shared" si="82"/>
        <v>insert into catInformation select 2202,'RFC del Aval o Coacreditado',0,1</v>
      </c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ht="15.75" customHeight="1">
      <c r="A1165" s="24">
        <v>2203</v>
      </c>
      <c r="B1165" s="24" t="s">
        <v>2801</v>
      </c>
      <c r="C1165" s="54" t="s">
        <v>2802</v>
      </c>
      <c r="D1165" s="55"/>
      <c r="E1165" s="24" t="s">
        <v>2803</v>
      </c>
      <c r="F1165" s="1">
        <v>1</v>
      </c>
      <c r="G1165" s="1">
        <f t="shared" si="81"/>
        <v>43</v>
      </c>
      <c r="H1165" s="1" t="str">
        <f t="shared" si="82"/>
        <v>insert into catInformation select 2203,'Fecha de Nacimiento del Aval o Coacreditado',0,1</v>
      </c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ht="15.75" customHeight="1">
      <c r="A1166" s="24">
        <v>2204</v>
      </c>
      <c r="B1166" s="24" t="s">
        <v>2804</v>
      </c>
      <c r="C1166" s="54" t="s">
        <v>2805</v>
      </c>
      <c r="D1166" s="55"/>
      <c r="E1166" s="24" t="s">
        <v>2806</v>
      </c>
      <c r="F1166" s="1">
        <v>1</v>
      </c>
      <c r="G1166" s="1">
        <f t="shared" si="81"/>
        <v>44</v>
      </c>
      <c r="H1166" s="1" t="str">
        <f t="shared" si="82"/>
        <v>insert into catInformation select 2204,'Estado de Nacimiento del Aval o Coacreditado',0,1</v>
      </c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ht="15.75" customHeight="1">
      <c r="A1167" s="24">
        <v>2205</v>
      </c>
      <c r="B1167" s="24" t="s">
        <v>2807</v>
      </c>
      <c r="C1167" s="54" t="s">
        <v>2808</v>
      </c>
      <c r="D1167" s="55"/>
      <c r="E1167" s="24" t="s">
        <v>2809</v>
      </c>
      <c r="F1167" s="1">
        <v>1</v>
      </c>
      <c r="G1167" s="1">
        <f t="shared" si="81"/>
        <v>42</v>
      </c>
      <c r="H1167" s="1" t="str">
        <f t="shared" si="82"/>
        <v>insert into catInformation select 2205,'Genero (Masc, Fem) del Aval o Coacreditado',0,1</v>
      </c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ht="15.75" customHeight="1">
      <c r="A1168" s="24">
        <v>2206</v>
      </c>
      <c r="B1168" s="24" t="s">
        <v>2810</v>
      </c>
      <c r="C1168" s="54" t="s">
        <v>2811</v>
      </c>
      <c r="D1168" s="55"/>
      <c r="E1168" s="24" t="s">
        <v>2812</v>
      </c>
      <c r="F1168" s="1">
        <v>1</v>
      </c>
      <c r="G1168" s="1">
        <f t="shared" si="81"/>
        <v>36</v>
      </c>
      <c r="H1168" s="1" t="str">
        <f t="shared" si="82"/>
        <v>insert into catInformation select 2206,'Estado Civil del Aval o Coacreditado',0,1</v>
      </c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ht="15.75" customHeight="1">
      <c r="A1169" s="24">
        <v>2207</v>
      </c>
      <c r="B1169" s="24" t="s">
        <v>2813</v>
      </c>
      <c r="C1169" s="54" t="s">
        <v>2814</v>
      </c>
      <c r="D1169" s="55"/>
      <c r="E1169" s="24" t="s">
        <v>2815</v>
      </c>
      <c r="F1169" s="1">
        <v>1</v>
      </c>
      <c r="G1169" s="1">
        <f t="shared" si="81"/>
        <v>43</v>
      </c>
      <c r="H1169" s="1" t="str">
        <f t="shared" si="82"/>
        <v>insert into catInformation select 2207,'Regimen Matrimonial del Aval o Coacreditado',0,1</v>
      </c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ht="15.75" customHeight="1">
      <c r="A1170" s="24">
        <v>2208</v>
      </c>
      <c r="B1170" s="24" t="s">
        <v>2816</v>
      </c>
      <c r="C1170" s="54" t="s">
        <v>2817</v>
      </c>
      <c r="D1170" s="55"/>
      <c r="E1170" s="24" t="s">
        <v>2818</v>
      </c>
      <c r="F1170" s="1">
        <v>1</v>
      </c>
      <c r="G1170" s="1">
        <f t="shared" si="81"/>
        <v>34</v>
      </c>
      <c r="H1170" s="1" t="str">
        <f t="shared" si="82"/>
        <v>insert into catInformation select 2208,'Parentesco del Aval o Coacreditado',0,1</v>
      </c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ht="15.75" customHeight="1">
      <c r="A1171" s="24">
        <v>2209</v>
      </c>
      <c r="B1171" s="24" t="s">
        <v>2819</v>
      </c>
      <c r="C1171" s="54" t="s">
        <v>2820</v>
      </c>
      <c r="D1171" s="55"/>
      <c r="E1171" s="24" t="s">
        <v>2821</v>
      </c>
      <c r="F1171" s="1">
        <v>1</v>
      </c>
      <c r="G1171" s="1">
        <f t="shared" si="81"/>
        <v>41</v>
      </c>
      <c r="H1171" s="1" t="str">
        <f t="shared" si="82"/>
        <v>insert into catInformation select 2209,'Nivel de estudios del Aval o Coacreditado',0,1</v>
      </c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ht="15.75" customHeight="1">
      <c r="A1172" s="24">
        <v>2210</v>
      </c>
      <c r="B1172" s="24" t="s">
        <v>2822</v>
      </c>
      <c r="C1172" s="54" t="s">
        <v>2823</v>
      </c>
      <c r="D1172" s="55"/>
      <c r="E1172" s="24" t="s">
        <v>2824</v>
      </c>
      <c r="F1172" s="1">
        <v>1</v>
      </c>
      <c r="G1172" s="1">
        <f t="shared" si="81"/>
        <v>40</v>
      </c>
      <c r="H1172" s="1" t="str">
        <f t="shared" si="82"/>
        <v>insert into catInformation select 2210,'Telefono de Casa del Aval o Coacreditado',0,1</v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ht="15.75" customHeight="1">
      <c r="A1173" s="24">
        <v>2211</v>
      </c>
      <c r="B1173" s="24" t="s">
        <v>2825</v>
      </c>
      <c r="C1173" s="54" t="s">
        <v>2826</v>
      </c>
      <c r="D1173" s="55"/>
      <c r="E1173" s="24" t="s">
        <v>2827</v>
      </c>
      <c r="F1173" s="1">
        <v>1</v>
      </c>
      <c r="G1173" s="1">
        <f t="shared" si="81"/>
        <v>40</v>
      </c>
      <c r="H1173" s="1" t="str">
        <f t="shared" si="82"/>
        <v>insert into catInformation select 2211,'Telefono Celular del Aval o Coacreditado',0,1</v>
      </c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ht="15.75" customHeight="1">
      <c r="A1174" s="24">
        <v>2212</v>
      </c>
      <c r="B1174" s="24" t="s">
        <v>2828</v>
      </c>
      <c r="C1174" s="54" t="s">
        <v>2829</v>
      </c>
      <c r="D1174" s="55"/>
      <c r="E1174" s="24" t="s">
        <v>2830</v>
      </c>
      <c r="F1174" s="1">
        <v>1</v>
      </c>
      <c r="G1174" s="1">
        <f t="shared" si="81"/>
        <v>42</v>
      </c>
      <c r="H1174" s="1" t="str">
        <f t="shared" si="82"/>
        <v>insert into catInformation select 2212,'Puesto u Ocupacion del Aval o Coacreditado',0,1</v>
      </c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ht="15.75" customHeight="1">
      <c r="A1175" s="24">
        <v>2213</v>
      </c>
      <c r="B1175" s="24" t="s">
        <v>2831</v>
      </c>
      <c r="C1175" s="54" t="s">
        <v>2832</v>
      </c>
      <c r="D1175" s="55"/>
      <c r="E1175" s="24" t="s">
        <v>2833</v>
      </c>
      <c r="F1175" s="1">
        <v>1</v>
      </c>
      <c r="G1175" s="1">
        <f t="shared" si="81"/>
        <v>28</v>
      </c>
      <c r="H1175" s="1" t="str">
        <f t="shared" si="82"/>
        <v>insert into catInformation select 2213,'Jefe del Aval o Coacreditado',0,1</v>
      </c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ht="15.75" customHeight="1">
      <c r="A1176" s="24">
        <v>2214</v>
      </c>
      <c r="B1176" s="24" t="s">
        <v>2834</v>
      </c>
      <c r="C1176" s="54" t="s">
        <v>2835</v>
      </c>
      <c r="D1176" s="55"/>
      <c r="E1176" s="24" t="s">
        <v>2836</v>
      </c>
      <c r="F1176" s="1">
        <v>2</v>
      </c>
      <c r="G1176" s="1">
        <f t="shared" si="81"/>
        <v>42</v>
      </c>
      <c r="H1176" s="1" t="str">
        <f t="shared" si="82"/>
        <v>insert into catInformation select 2214,'Antiguedad Trabajo del Aval o Coacreditado',0,2</v>
      </c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ht="15.75" customHeight="1">
      <c r="A1177" s="24">
        <v>2215</v>
      </c>
      <c r="B1177" s="24" t="s">
        <v>2837</v>
      </c>
      <c r="C1177" s="54" t="s">
        <v>2838</v>
      </c>
      <c r="D1177" s="55"/>
      <c r="E1177" s="24" t="s">
        <v>2839</v>
      </c>
      <c r="F1177" s="1">
        <v>1</v>
      </c>
      <c r="G1177" s="1">
        <f t="shared" si="81"/>
        <v>31</v>
      </c>
      <c r="H1177" s="1" t="str">
        <f t="shared" si="82"/>
        <v>insert into catInformation select 2215,'Empresa del Aval o Coacreditado',0,1</v>
      </c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ht="15.75" customHeight="1">
      <c r="A1178" s="24">
        <v>2216</v>
      </c>
      <c r="B1178" s="24" t="s">
        <v>2840</v>
      </c>
      <c r="C1178" s="54" t="s">
        <v>2841</v>
      </c>
      <c r="D1178" s="55"/>
      <c r="E1178" s="24" t="s">
        <v>2842</v>
      </c>
      <c r="F1178" s="1">
        <v>1</v>
      </c>
      <c r="G1178" s="1">
        <f t="shared" si="81"/>
        <v>48</v>
      </c>
      <c r="H1178" s="1" t="str">
        <f t="shared" si="82"/>
        <v>insert into catInformation select 2216,'Entre Calles del Trabajo del Aval o Coacreditado',0,1</v>
      </c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ht="15.75" customHeight="1">
      <c r="A1179" s="24">
        <v>2217</v>
      </c>
      <c r="B1179" s="24" t="s">
        <v>2843</v>
      </c>
      <c r="C1179" s="54" t="s">
        <v>2844</v>
      </c>
      <c r="D1179" s="55"/>
      <c r="E1179" s="24" t="s">
        <v>2845</v>
      </c>
      <c r="F1179" s="1">
        <v>1</v>
      </c>
      <c r="G1179" s="1">
        <f t="shared" si="81"/>
        <v>45</v>
      </c>
      <c r="H1179" s="1" t="str">
        <f t="shared" si="82"/>
        <v>insert into catInformation select 2217,'Codigo Postal Trabajo del Aval o Coacreditado',0,1</v>
      </c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1:27" ht="15.75" customHeight="1">
      <c r="A1180" s="24">
        <v>2218</v>
      </c>
      <c r="B1180" s="24" t="s">
        <v>2846</v>
      </c>
      <c r="C1180" s="54" t="s">
        <v>2847</v>
      </c>
      <c r="D1180" s="55"/>
      <c r="E1180" s="24" t="s">
        <v>2848</v>
      </c>
      <c r="F1180" s="1">
        <v>1</v>
      </c>
      <c r="G1180" s="1">
        <f t="shared" si="81"/>
        <v>40</v>
      </c>
      <c r="H1180" s="1" t="str">
        <f t="shared" si="82"/>
        <v>insert into catInformation select 2218,'Telefono Trabajo del Aval o Coacreditado',0,1</v>
      </c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1:27" ht="15.75" customHeight="1">
      <c r="A1181" s="24">
        <v>2219</v>
      </c>
      <c r="B1181" s="24" t="s">
        <v>2849</v>
      </c>
      <c r="C1181" s="54" t="s">
        <v>2850</v>
      </c>
      <c r="D1181" s="55"/>
      <c r="E1181" s="24" t="s">
        <v>2851</v>
      </c>
      <c r="F1181" s="1">
        <v>2</v>
      </c>
      <c r="G1181" s="1">
        <f t="shared" si="81"/>
        <v>30</v>
      </c>
      <c r="H1181" s="1" t="str">
        <f t="shared" si="82"/>
        <v>insert into catInformation select 2219,'Sueldo del Aval o Coacreditado',0,2</v>
      </c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1:27" ht="15.75" customHeight="1">
      <c r="A1182" s="24">
        <v>2220</v>
      </c>
      <c r="B1182" s="24" t="s">
        <v>2852</v>
      </c>
      <c r="C1182" s="54" t="s">
        <v>2853</v>
      </c>
      <c r="D1182" s="55"/>
      <c r="E1182" s="24" t="s">
        <v>2854</v>
      </c>
      <c r="F1182" s="1">
        <v>1</v>
      </c>
      <c r="G1182" s="1">
        <f t="shared" si="81"/>
        <v>36</v>
      </c>
      <c r="H1182" s="1" t="str">
        <f t="shared" si="82"/>
        <v>insert into catInformation select 2220,'Nacionalidad del Aval o Coacreditado',0,1</v>
      </c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1:27" ht="15.75" customHeight="1">
      <c r="A1183" s="24">
        <v>2221</v>
      </c>
      <c r="B1183" s="24" t="s">
        <v>2855</v>
      </c>
      <c r="C1183" s="54" t="s">
        <v>2856</v>
      </c>
      <c r="D1183" s="55"/>
      <c r="E1183" s="24" t="s">
        <v>2857</v>
      </c>
      <c r="F1183" s="1">
        <v>2</v>
      </c>
      <c r="G1183" s="1">
        <f t="shared" si="81"/>
        <v>36</v>
      </c>
      <c r="H1183" s="1" t="str">
        <f t="shared" si="82"/>
        <v>insert into catInformation select 2221,'Dependientes del Aval o Coacreditado',0,2</v>
      </c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ht="15.75" customHeight="1">
      <c r="A1184" s="24">
        <v>2222</v>
      </c>
      <c r="B1184" s="24" t="s">
        <v>2858</v>
      </c>
      <c r="C1184" s="54" t="s">
        <v>2859</v>
      </c>
      <c r="D1184" s="55"/>
      <c r="E1184" s="24" t="s">
        <v>2860</v>
      </c>
      <c r="F1184" s="1">
        <v>1</v>
      </c>
      <c r="G1184" s="1">
        <f t="shared" si="81"/>
        <v>43</v>
      </c>
      <c r="H1184" s="1" t="str">
        <f t="shared" si="82"/>
        <v>insert into catInformation select 2222,'Direccion Domicilio del Aval o Coacreditado',0,1</v>
      </c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ht="15.75" customHeight="1">
      <c r="A1185" s="24">
        <v>2223</v>
      </c>
      <c r="B1185" s="24" t="s">
        <v>2861</v>
      </c>
      <c r="C1185" s="54" t="s">
        <v>2862</v>
      </c>
      <c r="D1185" s="55"/>
      <c r="E1185" s="24" t="s">
        <v>2863</v>
      </c>
      <c r="F1185" s="1">
        <v>1</v>
      </c>
      <c r="G1185" s="1">
        <f t="shared" si="81"/>
        <v>39</v>
      </c>
      <c r="H1185" s="1" t="str">
        <f t="shared" si="82"/>
        <v>insert into catInformation select 2223,'Direccion Corta del Aval o Coacreditado',0,1</v>
      </c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1:27" ht="15.75" customHeight="1">
      <c r="A1186" s="24">
        <v>2224</v>
      </c>
      <c r="B1186" s="24" t="s">
        <v>2864</v>
      </c>
      <c r="C1186" s="54" t="s">
        <v>2865</v>
      </c>
      <c r="D1186" s="55"/>
      <c r="E1186" s="24" t="s">
        <v>2866</v>
      </c>
      <c r="F1186" s="1">
        <v>1</v>
      </c>
      <c r="G1186" s="1">
        <f t="shared" si="81"/>
        <v>44</v>
      </c>
      <c r="H1186" s="1" t="str">
        <f t="shared" si="82"/>
        <v>insert into catInformation select 2224,'Antiguedad Domicilio del Aval o Coacreditado',0,1</v>
      </c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1:27" ht="15.75" customHeight="1">
      <c r="A1187" s="24">
        <v>2225</v>
      </c>
      <c r="B1187" s="24" t="s">
        <v>2867</v>
      </c>
      <c r="C1187" s="54" t="s">
        <v>2868</v>
      </c>
      <c r="D1187" s="55"/>
      <c r="E1187" s="24" t="s">
        <v>2869</v>
      </c>
      <c r="F1187" s="1">
        <v>1</v>
      </c>
      <c r="G1187" s="1">
        <f t="shared" si="81"/>
        <v>41</v>
      </c>
      <c r="H1187" s="1" t="str">
        <f t="shared" si="82"/>
        <v>insert into catInformation select 2225,'Colonia Domicilio del Aval o Coacreditado',0,1</v>
      </c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1:27" ht="15.75" customHeight="1">
      <c r="A1188" s="24">
        <v>2226</v>
      </c>
      <c r="B1188" s="24" t="s">
        <v>2870</v>
      </c>
      <c r="C1188" s="54" t="s">
        <v>2871</v>
      </c>
      <c r="D1188" s="55"/>
      <c r="E1188" s="24" t="s">
        <v>2872</v>
      </c>
      <c r="F1188" s="1">
        <v>1</v>
      </c>
      <c r="G1188" s="1">
        <f t="shared" si="81"/>
        <v>40</v>
      </c>
      <c r="H1188" s="1" t="str">
        <f t="shared" si="82"/>
        <v>insert into catInformation select 2226,'Ciudad Domicilio del Aval o Coacreditado',0,1</v>
      </c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1:27" ht="15.75" customHeight="1">
      <c r="A1189" s="24">
        <v>2227</v>
      </c>
      <c r="B1189" s="24" t="s">
        <v>2873</v>
      </c>
      <c r="C1189" s="54" t="s">
        <v>2874</v>
      </c>
      <c r="D1189" s="55"/>
      <c r="E1189" s="24" t="s">
        <v>2875</v>
      </c>
      <c r="F1189" s="1">
        <v>1</v>
      </c>
      <c r="G1189" s="1">
        <f t="shared" si="81"/>
        <v>43</v>
      </c>
      <c r="H1189" s="1" t="str">
        <f t="shared" si="82"/>
        <v>insert into catInformation select 2227,'Localidad Domicilio del Aval o Coacreditado',0,1</v>
      </c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ht="15.75" customHeight="1">
      <c r="A1190" s="24">
        <v>2228</v>
      </c>
      <c r="B1190" s="24" t="s">
        <v>2876</v>
      </c>
      <c r="C1190" s="54" t="s">
        <v>2877</v>
      </c>
      <c r="D1190" s="55"/>
      <c r="E1190" s="24" t="s">
        <v>2878</v>
      </c>
      <c r="F1190" s="1">
        <v>1</v>
      </c>
      <c r="G1190" s="1">
        <f t="shared" si="81"/>
        <v>40</v>
      </c>
      <c r="H1190" s="1" t="str">
        <f t="shared" si="82"/>
        <v>insert into catInformation select 2228,'Estado Domicilio del Aval o Coacreditado',0,1</v>
      </c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ht="15.75" customHeight="1">
      <c r="A1191" s="24">
        <v>2229</v>
      </c>
      <c r="B1191" s="24" t="s">
        <v>2879</v>
      </c>
      <c r="C1191" s="54" t="s">
        <v>2880</v>
      </c>
      <c r="D1191" s="55"/>
      <c r="E1191" s="24" t="s">
        <v>2881</v>
      </c>
      <c r="F1191" s="1">
        <v>1</v>
      </c>
      <c r="G1191" s="1">
        <f t="shared" si="81"/>
        <v>47</v>
      </c>
      <c r="H1191" s="1" t="str">
        <f t="shared" si="82"/>
        <v>insert into catInformation select 2229,'Codigo Postal Domicilio del Aval o Coacreditado',0,1</v>
      </c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1:27" ht="15.75" customHeight="1">
      <c r="A1192" s="24">
        <v>2230</v>
      </c>
      <c r="B1192" s="24" t="s">
        <v>2882</v>
      </c>
      <c r="C1192" s="54" t="s">
        <v>2883</v>
      </c>
      <c r="D1192" s="55"/>
      <c r="E1192" s="24" t="s">
        <v>2884</v>
      </c>
      <c r="F1192" s="1">
        <v>1</v>
      </c>
      <c r="G1192" s="1">
        <f t="shared" si="81"/>
        <v>43</v>
      </c>
      <c r="H1192" s="1" t="str">
        <f t="shared" si="82"/>
        <v>insert into catInformation select 2230,'Propiedad Domicilio del Aval o Coacreditado',0,1</v>
      </c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1:27" ht="15.75" customHeight="1">
      <c r="A1193" s="24">
        <v>2231</v>
      </c>
      <c r="B1193" s="24" t="s">
        <v>2885</v>
      </c>
      <c r="C1193" s="54" t="s">
        <v>2886</v>
      </c>
      <c r="D1193" s="55"/>
      <c r="E1193" s="24" t="s">
        <v>2887</v>
      </c>
      <c r="F1193" s="1">
        <v>1</v>
      </c>
      <c r="G1193" s="1">
        <f t="shared" si="81"/>
        <v>47</v>
      </c>
      <c r="H1193" s="1" t="str">
        <f t="shared" si="82"/>
        <v>insert into catInformation select 2231,'Direccion Corta Trabajo del Aval o Coacreditado',0,1</v>
      </c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1:27" ht="15.75" customHeight="1">
      <c r="A1194" s="24">
        <v>2232</v>
      </c>
      <c r="B1194" s="24" t="s">
        <v>2888</v>
      </c>
      <c r="C1194" s="54" t="s">
        <v>2889</v>
      </c>
      <c r="D1194" s="55"/>
      <c r="E1194" s="24" t="s">
        <v>2890</v>
      </c>
      <c r="F1194" s="1">
        <v>1</v>
      </c>
      <c r="G1194" s="1">
        <f t="shared" si="81"/>
        <v>39</v>
      </c>
      <c r="H1194" s="1" t="str">
        <f t="shared" si="82"/>
        <v>insert into catInformation select 2232,'Colonia Trabajo del Aval o Coacreditado',0,1</v>
      </c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ht="15.75" customHeight="1">
      <c r="A1195" s="24">
        <v>2233</v>
      </c>
      <c r="B1195" s="24" t="s">
        <v>2891</v>
      </c>
      <c r="C1195" s="54" t="s">
        <v>2892</v>
      </c>
      <c r="D1195" s="55"/>
      <c r="E1195" s="24" t="s">
        <v>2893</v>
      </c>
      <c r="F1195" s="1">
        <v>1</v>
      </c>
      <c r="G1195" s="1">
        <f t="shared" si="81"/>
        <v>38</v>
      </c>
      <c r="H1195" s="1" t="str">
        <f t="shared" si="82"/>
        <v>insert into catInformation select 2233,'Ciudad Trabajo del Aval o Coacreditado',0,1</v>
      </c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ht="15.75" customHeight="1">
      <c r="A1196" s="24">
        <v>2234</v>
      </c>
      <c r="B1196" s="24" t="s">
        <v>2894</v>
      </c>
      <c r="C1196" s="54" t="s">
        <v>2895</v>
      </c>
      <c r="D1196" s="55"/>
      <c r="E1196" s="24" t="s">
        <v>2896</v>
      </c>
      <c r="F1196" s="1">
        <v>1</v>
      </c>
      <c r="G1196" s="1">
        <f t="shared" si="81"/>
        <v>41</v>
      </c>
      <c r="H1196" s="1" t="str">
        <f t="shared" si="82"/>
        <v>insert into catInformation select 2234,'Localidad Trabajo del Aval o Coacreditado',0,1</v>
      </c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ht="15.75" customHeight="1">
      <c r="A1197" s="24">
        <v>2235</v>
      </c>
      <c r="B1197" s="24" t="s">
        <v>2897</v>
      </c>
      <c r="C1197" s="54" t="s">
        <v>2898</v>
      </c>
      <c r="D1197" s="55"/>
      <c r="E1197" s="24" t="s">
        <v>2899</v>
      </c>
      <c r="F1197" s="1">
        <v>1</v>
      </c>
      <c r="G1197" s="1">
        <f t="shared" si="81"/>
        <v>38</v>
      </c>
      <c r="H1197" s="1" t="str">
        <f t="shared" si="82"/>
        <v>insert into catInformation select 2235,'Estado Trabajo del Aval o Coacreditado',0,1</v>
      </c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1:27" ht="15.75" customHeight="1">
      <c r="A1198" s="24">
        <v>2236</v>
      </c>
      <c r="B1198" s="24" t="s">
        <v>2900</v>
      </c>
      <c r="C1198" s="54" t="s">
        <v>2901</v>
      </c>
      <c r="D1198" s="55"/>
      <c r="E1198" s="24" t="s">
        <v>2902</v>
      </c>
      <c r="F1198" s="1">
        <v>1</v>
      </c>
      <c r="G1198" s="1">
        <f t="shared" si="81"/>
        <v>49</v>
      </c>
      <c r="H1198" s="1" t="str">
        <f t="shared" si="82"/>
        <v>insert into catInformation select 2236,'Numero Extension Telefono del Aval o Coacreditado',0,1</v>
      </c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1:27" ht="15.75" customHeight="1">
      <c r="A1199" s="24">
        <v>2237</v>
      </c>
      <c r="B1199" s="24" t="s">
        <v>2903</v>
      </c>
      <c r="C1199" s="54" t="s">
        <v>2904</v>
      </c>
      <c r="D1199" s="55"/>
      <c r="E1199" s="24" t="s">
        <v>2905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ht="15.75" customHeight="1">
      <c r="A1200" s="24"/>
      <c r="B1200" s="24"/>
      <c r="C1200" s="24"/>
      <c r="D1200" s="55"/>
      <c r="E1200" s="24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1:27" ht="15.75" customHeight="1">
      <c r="A1201" s="24">
        <v>2301</v>
      </c>
      <c r="B1201" s="24" t="s">
        <v>2906</v>
      </c>
      <c r="C1201" s="54" t="s">
        <v>2796</v>
      </c>
      <c r="D1201" s="55"/>
      <c r="E1201" s="24" t="s">
        <v>2907</v>
      </c>
      <c r="F1201" s="1">
        <v>1</v>
      </c>
      <c r="G1201" s="1">
        <f t="shared" ref="G1201:G1236" si="83">LEN(C1201)</f>
        <v>50</v>
      </c>
      <c r="H1201" s="1" t="str">
        <f t="shared" ref="H1201:H1236" si="84">CONCATENATE("insert into catInformation select ",A1201,",'",C1201,"',0,",F1201)</f>
        <v>insert into catInformation select 2301,'Nombre del Aval o Coacreditado (Apellido y Nombre)',0,1</v>
      </c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ht="15.75" customHeight="1">
      <c r="A1202" s="24">
        <v>2302</v>
      </c>
      <c r="B1202" s="24" t="s">
        <v>2908</v>
      </c>
      <c r="C1202" s="54" t="s">
        <v>2799</v>
      </c>
      <c r="D1202" s="55"/>
      <c r="E1202" s="24" t="s">
        <v>2909</v>
      </c>
      <c r="F1202" s="1">
        <v>1</v>
      </c>
      <c r="G1202" s="1">
        <f t="shared" si="83"/>
        <v>27</v>
      </c>
      <c r="H1202" s="1" t="str">
        <f t="shared" si="84"/>
        <v>insert into catInformation select 2302,'RFC del Aval o Coacreditado',0,1</v>
      </c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ht="15.75" customHeight="1">
      <c r="A1203" s="24">
        <v>2303</v>
      </c>
      <c r="B1203" s="24" t="s">
        <v>2910</v>
      </c>
      <c r="C1203" s="54" t="s">
        <v>2802</v>
      </c>
      <c r="D1203" s="55"/>
      <c r="E1203" s="24" t="s">
        <v>2911</v>
      </c>
      <c r="F1203" s="1">
        <v>1</v>
      </c>
      <c r="G1203" s="1">
        <f t="shared" si="83"/>
        <v>43</v>
      </c>
      <c r="H1203" s="1" t="str">
        <f t="shared" si="84"/>
        <v>insert into catInformation select 2303,'Fecha de Nacimiento del Aval o Coacreditado',0,1</v>
      </c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ht="15.75" customHeight="1">
      <c r="A1204" s="24">
        <v>2304</v>
      </c>
      <c r="B1204" s="24" t="s">
        <v>2912</v>
      </c>
      <c r="C1204" s="54" t="s">
        <v>2805</v>
      </c>
      <c r="D1204" s="55"/>
      <c r="E1204" s="24" t="s">
        <v>2913</v>
      </c>
      <c r="F1204" s="1">
        <v>1</v>
      </c>
      <c r="G1204" s="1">
        <f t="shared" si="83"/>
        <v>44</v>
      </c>
      <c r="H1204" s="1" t="str">
        <f t="shared" si="84"/>
        <v>insert into catInformation select 2304,'Estado de Nacimiento del Aval o Coacreditado',0,1</v>
      </c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1:27" ht="15.75" customHeight="1">
      <c r="A1205" s="24">
        <v>2305</v>
      </c>
      <c r="B1205" s="24" t="s">
        <v>2914</v>
      </c>
      <c r="C1205" s="54" t="s">
        <v>2808</v>
      </c>
      <c r="D1205" s="55"/>
      <c r="E1205" s="24" t="s">
        <v>2915</v>
      </c>
      <c r="F1205" s="1">
        <v>1</v>
      </c>
      <c r="G1205" s="1">
        <f t="shared" si="83"/>
        <v>42</v>
      </c>
      <c r="H1205" s="1" t="str">
        <f t="shared" si="84"/>
        <v>insert into catInformation select 2305,'Genero (Masc, Fem) del Aval o Coacreditado',0,1</v>
      </c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1:27" ht="15.75" customHeight="1">
      <c r="A1206" s="24">
        <v>2306</v>
      </c>
      <c r="B1206" s="24" t="s">
        <v>2916</v>
      </c>
      <c r="C1206" s="54" t="s">
        <v>2811</v>
      </c>
      <c r="D1206" s="55"/>
      <c r="E1206" s="24" t="s">
        <v>2917</v>
      </c>
      <c r="F1206" s="1">
        <v>1</v>
      </c>
      <c r="G1206" s="1">
        <f t="shared" si="83"/>
        <v>36</v>
      </c>
      <c r="H1206" s="1" t="str">
        <f t="shared" si="84"/>
        <v>insert into catInformation select 2306,'Estado Civil del Aval o Coacreditado',0,1</v>
      </c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1:27" ht="15.75" customHeight="1">
      <c r="A1207" s="24">
        <v>2307</v>
      </c>
      <c r="B1207" s="24" t="s">
        <v>2918</v>
      </c>
      <c r="C1207" s="54" t="s">
        <v>2814</v>
      </c>
      <c r="D1207" s="55"/>
      <c r="E1207" s="24" t="s">
        <v>2919</v>
      </c>
      <c r="F1207" s="1">
        <v>1</v>
      </c>
      <c r="G1207" s="1">
        <f t="shared" si="83"/>
        <v>43</v>
      </c>
      <c r="H1207" s="1" t="str">
        <f t="shared" si="84"/>
        <v>insert into catInformation select 2307,'Regimen Matrimonial del Aval o Coacreditado',0,1</v>
      </c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ht="15.75" customHeight="1">
      <c r="A1208" s="24">
        <v>2308</v>
      </c>
      <c r="B1208" s="24" t="s">
        <v>2920</v>
      </c>
      <c r="C1208" s="54" t="s">
        <v>2817</v>
      </c>
      <c r="D1208" s="55"/>
      <c r="E1208" s="24" t="s">
        <v>2921</v>
      </c>
      <c r="F1208" s="1">
        <v>1</v>
      </c>
      <c r="G1208" s="1">
        <f t="shared" si="83"/>
        <v>34</v>
      </c>
      <c r="H1208" s="1" t="str">
        <f t="shared" si="84"/>
        <v>insert into catInformation select 2308,'Parentesco del Aval o Coacreditado',0,1</v>
      </c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ht="15.75" customHeight="1">
      <c r="A1209" s="24">
        <v>2309</v>
      </c>
      <c r="B1209" s="24" t="s">
        <v>2922</v>
      </c>
      <c r="C1209" s="54" t="s">
        <v>2820</v>
      </c>
      <c r="D1209" s="55"/>
      <c r="E1209" s="24" t="s">
        <v>2923</v>
      </c>
      <c r="F1209" s="1">
        <v>1</v>
      </c>
      <c r="G1209" s="1">
        <f t="shared" si="83"/>
        <v>41</v>
      </c>
      <c r="H1209" s="1" t="str">
        <f t="shared" si="84"/>
        <v>insert into catInformation select 2309,'Nivel de estudios del Aval o Coacreditado',0,1</v>
      </c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ht="15.75" customHeight="1">
      <c r="A1210" s="24">
        <v>2310</v>
      </c>
      <c r="B1210" s="24" t="s">
        <v>2924</v>
      </c>
      <c r="C1210" s="54" t="s">
        <v>2823</v>
      </c>
      <c r="D1210" s="55"/>
      <c r="E1210" s="24" t="s">
        <v>2925</v>
      </c>
      <c r="F1210" s="1">
        <v>1</v>
      </c>
      <c r="G1210" s="1">
        <f t="shared" si="83"/>
        <v>40</v>
      </c>
      <c r="H1210" s="1" t="str">
        <f t="shared" si="84"/>
        <v>insert into catInformation select 2310,'Telefono de Casa del Aval o Coacreditado',0,1</v>
      </c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1:27" ht="15.75" customHeight="1">
      <c r="A1211" s="24">
        <v>2311</v>
      </c>
      <c r="B1211" s="24" t="s">
        <v>2926</v>
      </c>
      <c r="C1211" s="54" t="s">
        <v>2826</v>
      </c>
      <c r="D1211" s="55"/>
      <c r="E1211" s="24" t="s">
        <v>2927</v>
      </c>
      <c r="F1211" s="1">
        <v>1</v>
      </c>
      <c r="G1211" s="1">
        <f t="shared" si="83"/>
        <v>40</v>
      </c>
      <c r="H1211" s="1" t="str">
        <f t="shared" si="84"/>
        <v>insert into catInformation select 2311,'Telefono Celular del Aval o Coacreditado',0,1</v>
      </c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1:27" ht="15.75" customHeight="1">
      <c r="A1212" s="24">
        <v>2312</v>
      </c>
      <c r="B1212" s="24" t="s">
        <v>2928</v>
      </c>
      <c r="C1212" s="54" t="s">
        <v>2829</v>
      </c>
      <c r="D1212" s="55"/>
      <c r="E1212" s="24" t="s">
        <v>2929</v>
      </c>
      <c r="F1212" s="1">
        <v>1</v>
      </c>
      <c r="G1212" s="1">
        <f t="shared" si="83"/>
        <v>42</v>
      </c>
      <c r="H1212" s="1" t="str">
        <f t="shared" si="84"/>
        <v>insert into catInformation select 2312,'Puesto u Ocupacion del Aval o Coacreditado',0,1</v>
      </c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1:27" ht="15.75" customHeight="1">
      <c r="A1213" s="24">
        <v>2313</v>
      </c>
      <c r="B1213" s="24" t="s">
        <v>2930</v>
      </c>
      <c r="C1213" s="54" t="s">
        <v>2832</v>
      </c>
      <c r="D1213" s="55"/>
      <c r="E1213" s="24" t="s">
        <v>2931</v>
      </c>
      <c r="F1213" s="1">
        <v>1</v>
      </c>
      <c r="G1213" s="1">
        <f t="shared" si="83"/>
        <v>28</v>
      </c>
      <c r="H1213" s="1" t="str">
        <f t="shared" si="84"/>
        <v>insert into catInformation select 2313,'Jefe del Aval o Coacreditado',0,1</v>
      </c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1:27" ht="15.75" customHeight="1">
      <c r="A1214" s="24">
        <v>2314</v>
      </c>
      <c r="B1214" s="24" t="s">
        <v>2932</v>
      </c>
      <c r="C1214" s="54" t="s">
        <v>2835</v>
      </c>
      <c r="D1214" s="55"/>
      <c r="E1214" s="24" t="s">
        <v>2933</v>
      </c>
      <c r="F1214" s="1">
        <v>2</v>
      </c>
      <c r="G1214" s="1">
        <f t="shared" si="83"/>
        <v>42</v>
      </c>
      <c r="H1214" s="1" t="str">
        <f t="shared" si="84"/>
        <v>insert into catInformation select 2314,'Antiguedad Trabajo del Aval o Coacreditado',0,2</v>
      </c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ht="15.75" customHeight="1">
      <c r="A1215" s="24">
        <v>2315</v>
      </c>
      <c r="B1215" s="24" t="s">
        <v>2934</v>
      </c>
      <c r="C1215" s="54" t="s">
        <v>2838</v>
      </c>
      <c r="D1215" s="55"/>
      <c r="E1215" s="24" t="s">
        <v>2935</v>
      </c>
      <c r="F1215" s="1">
        <v>1</v>
      </c>
      <c r="G1215" s="1">
        <f t="shared" si="83"/>
        <v>31</v>
      </c>
      <c r="H1215" s="1" t="str">
        <f t="shared" si="84"/>
        <v>insert into catInformation select 2315,'Empresa del Aval o Coacreditado',0,1</v>
      </c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1:27" ht="15.75" customHeight="1">
      <c r="A1216" s="24">
        <v>2316</v>
      </c>
      <c r="B1216" s="24" t="s">
        <v>2936</v>
      </c>
      <c r="C1216" s="54" t="s">
        <v>2841</v>
      </c>
      <c r="D1216" s="55"/>
      <c r="E1216" s="24" t="s">
        <v>2937</v>
      </c>
      <c r="F1216" s="1">
        <v>1</v>
      </c>
      <c r="G1216" s="1">
        <f t="shared" si="83"/>
        <v>48</v>
      </c>
      <c r="H1216" s="1" t="str">
        <f t="shared" si="84"/>
        <v>insert into catInformation select 2316,'Entre Calles del Trabajo del Aval o Coacreditado',0,1</v>
      </c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1:27" ht="15.75" customHeight="1">
      <c r="A1217" s="24">
        <v>2317</v>
      </c>
      <c r="B1217" s="24" t="s">
        <v>2938</v>
      </c>
      <c r="C1217" s="54" t="s">
        <v>2844</v>
      </c>
      <c r="D1217" s="55"/>
      <c r="E1217" s="24" t="s">
        <v>2939</v>
      </c>
      <c r="F1217" s="1">
        <v>1</v>
      </c>
      <c r="G1217" s="1">
        <f t="shared" si="83"/>
        <v>45</v>
      </c>
      <c r="H1217" s="1" t="str">
        <f t="shared" si="84"/>
        <v>insert into catInformation select 2317,'Codigo Postal Trabajo del Aval o Coacreditado',0,1</v>
      </c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1:27" ht="15.75" customHeight="1">
      <c r="A1218" s="24">
        <v>2318</v>
      </c>
      <c r="B1218" s="24" t="s">
        <v>2940</v>
      </c>
      <c r="C1218" s="54" t="s">
        <v>2847</v>
      </c>
      <c r="D1218" s="55"/>
      <c r="E1218" s="24" t="s">
        <v>2941</v>
      </c>
      <c r="F1218" s="1">
        <v>1</v>
      </c>
      <c r="G1218" s="1">
        <f t="shared" si="83"/>
        <v>40</v>
      </c>
      <c r="H1218" s="1" t="str">
        <f t="shared" si="84"/>
        <v>insert into catInformation select 2318,'Telefono Trabajo del Aval o Coacreditado',0,1</v>
      </c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 spans="1:27" ht="15.75" customHeight="1">
      <c r="A1219" s="24">
        <v>2319</v>
      </c>
      <c r="B1219" s="24" t="s">
        <v>2942</v>
      </c>
      <c r="C1219" s="54" t="s">
        <v>2850</v>
      </c>
      <c r="D1219" s="55"/>
      <c r="E1219" s="24" t="s">
        <v>2943</v>
      </c>
      <c r="F1219" s="1">
        <v>2</v>
      </c>
      <c r="G1219" s="1">
        <f t="shared" si="83"/>
        <v>30</v>
      </c>
      <c r="H1219" s="1" t="str">
        <f t="shared" si="84"/>
        <v>insert into catInformation select 2319,'Sueldo del Aval o Coacreditado',0,2</v>
      </c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1:27" ht="15.75" customHeight="1">
      <c r="A1220" s="24">
        <v>2320</v>
      </c>
      <c r="B1220" s="24" t="s">
        <v>2944</v>
      </c>
      <c r="C1220" s="54" t="s">
        <v>2853</v>
      </c>
      <c r="D1220" s="55"/>
      <c r="E1220" s="24" t="s">
        <v>2945</v>
      </c>
      <c r="F1220" s="1">
        <v>1</v>
      </c>
      <c r="G1220" s="1">
        <f t="shared" si="83"/>
        <v>36</v>
      </c>
      <c r="H1220" s="1" t="str">
        <f t="shared" si="84"/>
        <v>insert into catInformation select 2320,'Nacionalidad del Aval o Coacreditado',0,1</v>
      </c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1:27" ht="15.75" customHeight="1">
      <c r="A1221" s="24">
        <v>2321</v>
      </c>
      <c r="B1221" s="24" t="s">
        <v>2946</v>
      </c>
      <c r="C1221" s="54" t="s">
        <v>2856</v>
      </c>
      <c r="D1221" s="55"/>
      <c r="E1221" s="24" t="s">
        <v>2947</v>
      </c>
      <c r="F1221" s="1">
        <v>2</v>
      </c>
      <c r="G1221" s="1">
        <f t="shared" si="83"/>
        <v>36</v>
      </c>
      <c r="H1221" s="1" t="str">
        <f t="shared" si="84"/>
        <v>insert into catInformation select 2321,'Dependientes del Aval o Coacreditado',0,2</v>
      </c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 spans="1:27" ht="15.75" customHeight="1">
      <c r="A1222" s="24">
        <v>2322</v>
      </c>
      <c r="B1222" s="24" t="s">
        <v>2948</v>
      </c>
      <c r="C1222" s="54" t="s">
        <v>2859</v>
      </c>
      <c r="D1222" s="55"/>
      <c r="E1222" s="24" t="s">
        <v>2949</v>
      </c>
      <c r="F1222" s="1">
        <v>1</v>
      </c>
      <c r="G1222" s="1">
        <f t="shared" si="83"/>
        <v>43</v>
      </c>
      <c r="H1222" s="1" t="str">
        <f t="shared" si="84"/>
        <v>insert into catInformation select 2322,'Direccion Domicilio del Aval o Coacreditado',0,1</v>
      </c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 spans="1:27" ht="15.75" customHeight="1">
      <c r="A1223" s="24">
        <v>2323</v>
      </c>
      <c r="B1223" s="24" t="s">
        <v>2950</v>
      </c>
      <c r="C1223" s="54" t="s">
        <v>2862</v>
      </c>
      <c r="D1223" s="55"/>
      <c r="E1223" s="24" t="s">
        <v>2951</v>
      </c>
      <c r="F1223" s="1">
        <v>1</v>
      </c>
      <c r="G1223" s="1">
        <f t="shared" si="83"/>
        <v>39</v>
      </c>
      <c r="H1223" s="1" t="str">
        <f t="shared" si="84"/>
        <v>insert into catInformation select 2323,'Direccion Corta del Aval o Coacreditado',0,1</v>
      </c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 spans="1:27" ht="15.75" customHeight="1">
      <c r="A1224" s="24">
        <v>2324</v>
      </c>
      <c r="B1224" s="24" t="s">
        <v>2952</v>
      </c>
      <c r="C1224" s="54" t="s">
        <v>2865</v>
      </c>
      <c r="D1224" s="55"/>
      <c r="E1224" s="24" t="s">
        <v>2953</v>
      </c>
      <c r="F1224" s="1">
        <v>1</v>
      </c>
      <c r="G1224" s="1">
        <f t="shared" si="83"/>
        <v>44</v>
      </c>
      <c r="H1224" s="1" t="str">
        <f t="shared" si="84"/>
        <v>insert into catInformation select 2324,'Antiguedad Domicilio del Aval o Coacreditado',0,1</v>
      </c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 spans="1:27" ht="15.75" customHeight="1">
      <c r="A1225" s="24">
        <v>2325</v>
      </c>
      <c r="B1225" s="24" t="s">
        <v>2954</v>
      </c>
      <c r="C1225" s="54" t="s">
        <v>2868</v>
      </c>
      <c r="D1225" s="55"/>
      <c r="E1225" s="24" t="s">
        <v>2955</v>
      </c>
      <c r="F1225" s="1">
        <v>1</v>
      </c>
      <c r="G1225" s="1">
        <f t="shared" si="83"/>
        <v>41</v>
      </c>
      <c r="H1225" s="1" t="str">
        <f t="shared" si="84"/>
        <v>insert into catInformation select 2325,'Colonia Domicilio del Aval o Coacreditado',0,1</v>
      </c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1:27" ht="15.75" customHeight="1">
      <c r="A1226" s="24">
        <v>2326</v>
      </c>
      <c r="B1226" s="24" t="s">
        <v>2956</v>
      </c>
      <c r="C1226" s="54" t="s">
        <v>2871</v>
      </c>
      <c r="D1226" s="55"/>
      <c r="E1226" s="24" t="s">
        <v>2957</v>
      </c>
      <c r="F1226" s="1">
        <v>1</v>
      </c>
      <c r="G1226" s="1">
        <f t="shared" si="83"/>
        <v>40</v>
      </c>
      <c r="H1226" s="1" t="str">
        <f t="shared" si="84"/>
        <v>insert into catInformation select 2326,'Ciudad Domicilio del Aval o Coacreditado',0,1</v>
      </c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1:27" ht="15.75" customHeight="1">
      <c r="A1227" s="24">
        <v>2327</v>
      </c>
      <c r="B1227" s="24" t="s">
        <v>2958</v>
      </c>
      <c r="C1227" s="54" t="s">
        <v>2874</v>
      </c>
      <c r="D1227" s="55"/>
      <c r="E1227" s="24" t="s">
        <v>2959</v>
      </c>
      <c r="F1227" s="1">
        <v>1</v>
      </c>
      <c r="G1227" s="1">
        <f t="shared" si="83"/>
        <v>43</v>
      </c>
      <c r="H1227" s="1" t="str">
        <f t="shared" si="84"/>
        <v>insert into catInformation select 2327,'Localidad Domicilio del Aval o Coacreditado',0,1</v>
      </c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 spans="1:27" ht="15.75" customHeight="1">
      <c r="A1228" s="24">
        <v>2328</v>
      </c>
      <c r="B1228" s="24" t="s">
        <v>2960</v>
      </c>
      <c r="C1228" s="54" t="s">
        <v>2877</v>
      </c>
      <c r="D1228" s="55"/>
      <c r="E1228" s="24" t="s">
        <v>2961</v>
      </c>
      <c r="F1228" s="1">
        <v>1</v>
      </c>
      <c r="G1228" s="1">
        <f t="shared" si="83"/>
        <v>40</v>
      </c>
      <c r="H1228" s="1" t="str">
        <f t="shared" si="84"/>
        <v>insert into catInformation select 2328,'Estado Domicilio del Aval o Coacreditado',0,1</v>
      </c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 spans="1:27" ht="15.75" customHeight="1">
      <c r="A1229" s="24">
        <v>2329</v>
      </c>
      <c r="B1229" s="24" t="s">
        <v>2962</v>
      </c>
      <c r="C1229" s="54" t="s">
        <v>2880</v>
      </c>
      <c r="D1229" s="55"/>
      <c r="E1229" s="24" t="s">
        <v>2963</v>
      </c>
      <c r="F1229" s="1">
        <v>1</v>
      </c>
      <c r="G1229" s="1">
        <f t="shared" si="83"/>
        <v>47</v>
      </c>
      <c r="H1229" s="1" t="str">
        <f t="shared" si="84"/>
        <v>insert into catInformation select 2329,'Codigo Postal Domicilio del Aval o Coacreditado',0,1</v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 spans="1:27" ht="15.75" customHeight="1">
      <c r="A1230" s="24">
        <v>2330</v>
      </c>
      <c r="B1230" s="24" t="s">
        <v>2964</v>
      </c>
      <c r="C1230" s="54" t="s">
        <v>2883</v>
      </c>
      <c r="D1230" s="55"/>
      <c r="E1230" s="24" t="s">
        <v>2965</v>
      </c>
      <c r="F1230" s="1">
        <v>1</v>
      </c>
      <c r="G1230" s="1">
        <f t="shared" si="83"/>
        <v>43</v>
      </c>
      <c r="H1230" s="1" t="str">
        <f t="shared" si="84"/>
        <v>insert into catInformation select 2330,'Propiedad Domicilio del Aval o Coacreditado',0,1</v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 spans="1:27" ht="15.75" customHeight="1">
      <c r="A1231" s="24">
        <v>2331</v>
      </c>
      <c r="B1231" s="24" t="s">
        <v>2966</v>
      </c>
      <c r="C1231" s="54" t="s">
        <v>2886</v>
      </c>
      <c r="D1231" s="55"/>
      <c r="E1231" s="24" t="s">
        <v>2967</v>
      </c>
      <c r="F1231" s="1">
        <v>1</v>
      </c>
      <c r="G1231" s="1">
        <f t="shared" si="83"/>
        <v>47</v>
      </c>
      <c r="H1231" s="1" t="str">
        <f t="shared" si="84"/>
        <v>insert into catInformation select 2331,'Direccion Corta Trabajo del Aval o Coacreditado',0,1</v>
      </c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1:27" ht="15.75" customHeight="1">
      <c r="A1232" s="24">
        <v>2332</v>
      </c>
      <c r="B1232" s="24" t="s">
        <v>2968</v>
      </c>
      <c r="C1232" s="54" t="s">
        <v>2889</v>
      </c>
      <c r="D1232" s="55"/>
      <c r="E1232" s="24" t="s">
        <v>2969</v>
      </c>
      <c r="F1232" s="1">
        <v>1</v>
      </c>
      <c r="G1232" s="1">
        <f t="shared" si="83"/>
        <v>39</v>
      </c>
      <c r="H1232" s="1" t="str">
        <f t="shared" si="84"/>
        <v>insert into catInformation select 2332,'Colonia Trabajo del Aval o Coacreditado',0,1</v>
      </c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1:27" ht="15.75" customHeight="1">
      <c r="A1233" s="24">
        <v>2333</v>
      </c>
      <c r="B1233" s="24" t="s">
        <v>2970</v>
      </c>
      <c r="C1233" s="54" t="s">
        <v>2892</v>
      </c>
      <c r="D1233" s="55"/>
      <c r="E1233" s="24" t="s">
        <v>2971</v>
      </c>
      <c r="F1233" s="1">
        <v>1</v>
      </c>
      <c r="G1233" s="1">
        <f t="shared" si="83"/>
        <v>38</v>
      </c>
      <c r="H1233" s="1" t="str">
        <f t="shared" si="84"/>
        <v>insert into catInformation select 2333,'Ciudad Trabajo del Aval o Coacreditado',0,1</v>
      </c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 spans="1:27" ht="15.75" customHeight="1">
      <c r="A1234" s="24">
        <v>2334</v>
      </c>
      <c r="B1234" s="24" t="s">
        <v>2972</v>
      </c>
      <c r="C1234" s="54" t="s">
        <v>2895</v>
      </c>
      <c r="D1234" s="55"/>
      <c r="E1234" s="24" t="s">
        <v>2973</v>
      </c>
      <c r="F1234" s="1">
        <v>1</v>
      </c>
      <c r="G1234" s="1">
        <f t="shared" si="83"/>
        <v>41</v>
      </c>
      <c r="H1234" s="1" t="str">
        <f t="shared" si="84"/>
        <v>insert into catInformation select 2334,'Localidad Trabajo del Aval o Coacreditado',0,1</v>
      </c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 spans="1:27" ht="15.75" customHeight="1">
      <c r="A1235" s="24">
        <v>2335</v>
      </c>
      <c r="B1235" s="24" t="s">
        <v>2974</v>
      </c>
      <c r="C1235" s="54" t="s">
        <v>2898</v>
      </c>
      <c r="D1235" s="55"/>
      <c r="E1235" s="24" t="s">
        <v>2975</v>
      </c>
      <c r="F1235" s="1">
        <v>1</v>
      </c>
      <c r="G1235" s="1">
        <f t="shared" si="83"/>
        <v>38</v>
      </c>
      <c r="H1235" s="1" t="str">
        <f t="shared" si="84"/>
        <v>insert into catInformation select 2335,'Estado Trabajo del Aval o Coacreditado',0,1</v>
      </c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 spans="1:27" ht="15.75" customHeight="1">
      <c r="A1236" s="24">
        <v>2336</v>
      </c>
      <c r="B1236" s="24" t="s">
        <v>2976</v>
      </c>
      <c r="C1236" s="54" t="s">
        <v>2901</v>
      </c>
      <c r="D1236" s="55"/>
      <c r="E1236" s="24" t="s">
        <v>2977</v>
      </c>
      <c r="F1236" s="1">
        <v>1</v>
      </c>
      <c r="G1236" s="1">
        <f t="shared" si="83"/>
        <v>49</v>
      </c>
      <c r="H1236" s="1" t="str">
        <f t="shared" si="84"/>
        <v>insert into catInformation select 2336,'Numero Extension Telefono del Aval o Coacreditado',0,1</v>
      </c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 spans="1:27" ht="15.75" customHeight="1">
      <c r="A1237" s="24">
        <v>2337</v>
      </c>
      <c r="B1237" s="24" t="s">
        <v>2978</v>
      </c>
      <c r="C1237" s="54" t="s">
        <v>24</v>
      </c>
      <c r="D1237" s="55"/>
      <c r="E1237" s="24" t="s">
        <v>2905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1:27" ht="15.75" customHeight="1">
      <c r="A1238" s="24"/>
      <c r="B1238" s="24"/>
      <c r="C1238" s="54"/>
      <c r="D1238" s="55"/>
      <c r="E1238" s="24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1:27" ht="15.75" customHeight="1">
      <c r="A1239" s="24"/>
      <c r="B1239" s="24"/>
      <c r="C1239" s="54"/>
      <c r="D1239" s="55"/>
      <c r="E1239" s="24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 spans="1:27" ht="15.75" customHeight="1">
      <c r="A1240" s="24"/>
      <c r="B1240" s="24"/>
      <c r="C1240" s="54"/>
      <c r="D1240" s="55"/>
      <c r="E1240" s="24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 spans="1:27" ht="15.75" customHeight="1">
      <c r="A1241" s="24">
        <v>2501</v>
      </c>
      <c r="B1241" s="2"/>
      <c r="C1241" s="54" t="s">
        <v>2979</v>
      </c>
      <c r="D1241" s="55"/>
      <c r="E1241" s="24" t="s">
        <v>2980</v>
      </c>
      <c r="F1241" s="1">
        <v>1</v>
      </c>
      <c r="G1241" s="1">
        <f t="shared" ref="G1241:G1258" si="85">LEN(C1241)</f>
        <v>20</v>
      </c>
      <c r="H1241" s="1" t="str">
        <f t="shared" ref="H1241:H1258" si="86">CONCATENATE("insert into catInformation select ",A1241,",'",C1241,"',0,",F1241)</f>
        <v>insert into catInformation select 2501,'Numero de Cotizacion',0,1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 spans="1:27" ht="15.75" customHeight="1">
      <c r="A1242" s="24">
        <v>2502</v>
      </c>
      <c r="B1242" s="2" t="s">
        <v>2981</v>
      </c>
      <c r="C1242" s="54" t="s">
        <v>2982</v>
      </c>
      <c r="D1242" s="55"/>
      <c r="E1242" s="24" t="s">
        <v>2983</v>
      </c>
      <c r="F1242" s="1">
        <v>1</v>
      </c>
      <c r="G1242" s="1">
        <f t="shared" si="85"/>
        <v>33</v>
      </c>
      <c r="H1242" s="1" t="str">
        <f t="shared" si="86"/>
        <v>insert into catInformation select 2502,'Nombre del Prospecto (Cotizacion)',0,1</v>
      </c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 spans="1:27" ht="15.75" customHeight="1">
      <c r="A1243" s="24">
        <v>2503</v>
      </c>
      <c r="B1243" s="2"/>
      <c r="C1243" s="54" t="s">
        <v>2984</v>
      </c>
      <c r="D1243" s="55"/>
      <c r="E1243" s="24" t="s">
        <v>2985</v>
      </c>
      <c r="F1243" s="1">
        <v>1</v>
      </c>
      <c r="G1243" s="1">
        <f t="shared" si="85"/>
        <v>19</v>
      </c>
      <c r="H1243" s="1" t="str">
        <f t="shared" si="86"/>
        <v>insert into catInformation select 2503,'Fecha de Cotizacion',0,1</v>
      </c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1:27" ht="15.75" customHeight="1">
      <c r="A1244" s="24">
        <v>2504</v>
      </c>
      <c r="B1244" s="2"/>
      <c r="C1244" s="54" t="s">
        <v>2986</v>
      </c>
      <c r="D1244" s="55"/>
      <c r="E1244" s="24" t="s">
        <v>2987</v>
      </c>
      <c r="F1244" s="1">
        <v>1</v>
      </c>
      <c r="G1244" s="1">
        <f t="shared" si="85"/>
        <v>43</v>
      </c>
      <c r="H1244" s="1" t="str">
        <f t="shared" si="86"/>
        <v>insert into catInformation select 2504,'Descripcion del financiamiento (Cotizacion)',0,1</v>
      </c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1:27" ht="15.75" customHeight="1">
      <c r="A1245" s="24">
        <v>2505</v>
      </c>
      <c r="B1245" s="2" t="s">
        <v>2988</v>
      </c>
      <c r="C1245" s="54" t="s">
        <v>2989</v>
      </c>
      <c r="D1245" s="55"/>
      <c r="E1245" s="24" t="s">
        <v>2990</v>
      </c>
      <c r="F1245" s="1">
        <v>1</v>
      </c>
      <c r="G1245" s="1">
        <f t="shared" si="85"/>
        <v>32</v>
      </c>
      <c r="H1245" s="1" t="str">
        <f t="shared" si="86"/>
        <v>insert into catInformation select 2505,'Marca del Producto de Cotizacion',0,1</v>
      </c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1:27" ht="15.75" customHeight="1">
      <c r="A1246" s="24">
        <v>2506</v>
      </c>
      <c r="B1246" s="2" t="s">
        <v>2991</v>
      </c>
      <c r="C1246" s="54" t="s">
        <v>2992</v>
      </c>
      <c r="D1246" s="55"/>
      <c r="E1246" s="24" t="s">
        <v>2993</v>
      </c>
      <c r="F1246" s="1">
        <v>1</v>
      </c>
      <c r="G1246" s="1">
        <f t="shared" si="85"/>
        <v>33</v>
      </c>
      <c r="H1246" s="1" t="str">
        <f t="shared" si="86"/>
        <v>insert into catInformation select 2506,'Tipo de Producto de la Cotizacion',0,1</v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 spans="1:27" ht="15.75" customHeight="1">
      <c r="A1247" s="24">
        <v>2507</v>
      </c>
      <c r="B1247" s="2" t="s">
        <v>2994</v>
      </c>
      <c r="C1247" s="54" t="s">
        <v>2995</v>
      </c>
      <c r="D1247" s="55"/>
      <c r="E1247" s="24" t="s">
        <v>2996</v>
      </c>
      <c r="F1247" s="1">
        <v>1</v>
      </c>
      <c r="G1247" s="1">
        <f t="shared" si="85"/>
        <v>41</v>
      </c>
      <c r="H1247" s="1" t="str">
        <f t="shared" si="86"/>
        <v>insert into catInformation select 2507,'Descripcion del Producto de la Cotizacion',0,1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1:27" ht="15.75" customHeight="1">
      <c r="A1248" s="24">
        <v>2508</v>
      </c>
      <c r="B1248" s="2" t="s">
        <v>2997</v>
      </c>
      <c r="C1248" s="54" t="s">
        <v>2998</v>
      </c>
      <c r="D1248" s="55"/>
      <c r="E1248" s="24" t="s">
        <v>2999</v>
      </c>
      <c r="F1248" s="1">
        <v>2</v>
      </c>
      <c r="G1248" s="1">
        <f t="shared" si="85"/>
        <v>36</v>
      </c>
      <c r="H1248" s="1" t="str">
        <f t="shared" si="86"/>
        <v>insert into catInformation select 2508,'Precio del Producto de la Cotizacion',0,2</v>
      </c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 spans="1:27" ht="15.75" customHeight="1">
      <c r="A1249" s="24">
        <v>2509</v>
      </c>
      <c r="B1249" s="2"/>
      <c r="C1249" s="54" t="s">
        <v>3000</v>
      </c>
      <c r="D1249" s="56"/>
      <c r="E1249" s="54" t="s">
        <v>3001</v>
      </c>
      <c r="F1249" s="1">
        <v>2</v>
      </c>
      <c r="G1249" s="1">
        <f t="shared" si="85"/>
        <v>40</v>
      </c>
      <c r="H1249" s="1" t="str">
        <f t="shared" si="86"/>
        <v>insert into catInformation select 2509,'Numero de Pagos (Plazo) de la Cotizacion',0,2</v>
      </c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1:27" ht="15.75" customHeight="1">
      <c r="A1250" s="24">
        <v>2510</v>
      </c>
      <c r="B1250" s="2"/>
      <c r="C1250" s="54" t="s">
        <v>3002</v>
      </c>
      <c r="D1250" s="55"/>
      <c r="E1250" s="24" t="s">
        <v>3003</v>
      </c>
      <c r="F1250" s="1">
        <v>1</v>
      </c>
      <c r="G1250" s="1">
        <f t="shared" si="85"/>
        <v>37</v>
      </c>
      <c r="H1250" s="1" t="str">
        <f t="shared" si="86"/>
        <v>insert into catInformation select 2510,'Fecha de Vencimiento de la Cotizacion',0,1</v>
      </c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1:27" ht="15.75" customHeight="1">
      <c r="A1251" s="24">
        <v>2511</v>
      </c>
      <c r="B1251" s="2"/>
      <c r="C1251" s="54" t="s">
        <v>3004</v>
      </c>
      <c r="D1251" s="55"/>
      <c r="E1251" s="24" t="s">
        <v>3005</v>
      </c>
      <c r="F1251" s="1">
        <v>2</v>
      </c>
      <c r="G1251" s="1">
        <f t="shared" si="85"/>
        <v>32</v>
      </c>
      <c r="H1251" s="1" t="str">
        <f t="shared" si="86"/>
        <v>insert into catInformation select 2511,'Monto de la Renta o Pago Sin IVA',0,2</v>
      </c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 spans="1:27" ht="15.75" customHeight="1">
      <c r="A1252" s="24">
        <v>2512</v>
      </c>
      <c r="B1252" s="2"/>
      <c r="C1252" s="54" t="s">
        <v>3006</v>
      </c>
      <c r="D1252" s="55"/>
      <c r="E1252" s="24" t="s">
        <v>3007</v>
      </c>
      <c r="F1252" s="1">
        <v>2</v>
      </c>
      <c r="G1252" s="1">
        <f t="shared" si="85"/>
        <v>40</v>
      </c>
      <c r="H1252" s="1" t="str">
        <f t="shared" si="86"/>
        <v>insert into catInformation select 2512,'Monto de la Primera Renta o Pago Sin IVA',0,2</v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 spans="1:27" ht="15.75" customHeight="1">
      <c r="A1253" s="24">
        <v>2513</v>
      </c>
      <c r="B1253" s="2"/>
      <c r="C1253" s="54" t="s">
        <v>3008</v>
      </c>
      <c r="D1253" s="55"/>
      <c r="E1253" s="24" t="s">
        <v>3009</v>
      </c>
      <c r="F1253" s="1">
        <v>2</v>
      </c>
      <c r="G1253" s="1">
        <f t="shared" si="85"/>
        <v>28</v>
      </c>
      <c r="H1253" s="1" t="str">
        <f t="shared" si="86"/>
        <v>insert into catInformation select 2513,'Monto de la Comision Sin IVA',0,2</v>
      </c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 spans="1:27" ht="15.75" customHeight="1">
      <c r="A1254" s="24">
        <v>2514</v>
      </c>
      <c r="B1254" s="2"/>
      <c r="C1254" s="54" t="s">
        <v>3010</v>
      </c>
      <c r="D1254" s="55"/>
      <c r="E1254" s="24" t="s">
        <v>3011</v>
      </c>
      <c r="F1254" s="1">
        <v>2</v>
      </c>
      <c r="G1254" s="1">
        <f t="shared" si="85"/>
        <v>44</v>
      </c>
      <c r="H1254" s="1" t="str">
        <f t="shared" si="86"/>
        <v>insert into catInformation select 2514,'Monto de la Renta o Pago en Deposito Sin Iva',0,2</v>
      </c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 spans="1:27" ht="15.75" customHeight="1">
      <c r="A1255" s="24">
        <v>2515</v>
      </c>
      <c r="B1255" s="57" t="s">
        <v>3012</v>
      </c>
      <c r="C1255" s="54" t="s">
        <v>3013</v>
      </c>
      <c r="D1255" s="55" t="s">
        <v>3014</v>
      </c>
      <c r="E1255" s="24" t="s">
        <v>2095</v>
      </c>
      <c r="F1255" s="1">
        <v>2</v>
      </c>
      <c r="G1255" s="1">
        <f t="shared" si="85"/>
        <v>35</v>
      </c>
      <c r="H1255" s="1" t="str">
        <f t="shared" si="86"/>
        <v>insert into catInformation select 2515,'Importe del Seguro del Bien Sin IVA',0,2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1:27" ht="15.75" customHeight="1">
      <c r="A1256" s="24">
        <v>2516</v>
      </c>
      <c r="B1256" s="2"/>
      <c r="C1256" s="54" t="s">
        <v>2106</v>
      </c>
      <c r="D1256" s="55"/>
      <c r="E1256" s="24" t="s">
        <v>2104</v>
      </c>
      <c r="F1256" s="1">
        <v>2</v>
      </c>
      <c r="G1256" s="1">
        <f t="shared" si="85"/>
        <v>34</v>
      </c>
      <c r="H1256" s="1" t="str">
        <f t="shared" si="86"/>
        <v>insert into catInformation select 2516,'Valor de Placas y Tenencia Sin IVA',0,2</v>
      </c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1:27" ht="15.75" customHeight="1">
      <c r="A1257" s="24">
        <v>2517</v>
      </c>
      <c r="B1257" s="2"/>
      <c r="C1257" s="54" t="s">
        <v>3015</v>
      </c>
      <c r="D1257" s="55"/>
      <c r="E1257" s="24" t="s">
        <v>2113</v>
      </c>
      <c r="F1257" s="1">
        <v>2</v>
      </c>
      <c r="G1257" s="1">
        <f t="shared" si="85"/>
        <v>42</v>
      </c>
      <c r="H1257" s="1" t="str">
        <f t="shared" si="86"/>
        <v>insert into catInformation select 2517,'Importe de Verificacion y Gestoria Sin IVA',0,2</v>
      </c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 spans="1:27" ht="15.75" customHeight="1">
      <c r="A1258" s="24">
        <v>2518</v>
      </c>
      <c r="B1258" s="2"/>
      <c r="C1258" s="54" t="s">
        <v>3016</v>
      </c>
      <c r="D1258" s="55"/>
      <c r="E1258" s="24" t="s">
        <v>2122</v>
      </c>
      <c r="F1258" s="1">
        <v>2</v>
      </c>
      <c r="G1258" s="1">
        <f t="shared" si="85"/>
        <v>40</v>
      </c>
      <c r="H1258" s="1" t="str">
        <f t="shared" si="86"/>
        <v>insert into catInformation select 2518,'Importe del Deposito en Garantia Sin IVA',0,2</v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 spans="1:27" ht="15.75" customHeight="1">
      <c r="A1259" s="24">
        <v>2519</v>
      </c>
      <c r="B1259" s="2"/>
      <c r="C1259" s="54" t="s">
        <v>3017</v>
      </c>
      <c r="D1259" s="55"/>
      <c r="E1259" s="24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 spans="1:27" ht="15.75" customHeight="1">
      <c r="A1260" s="24">
        <v>2520</v>
      </c>
      <c r="B1260" s="2" t="s">
        <v>3018</v>
      </c>
      <c r="C1260" s="54" t="s">
        <v>3019</v>
      </c>
      <c r="D1260" s="55"/>
      <c r="E1260" s="24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 spans="1:27" ht="15.75" customHeight="1">
      <c r="A1261" s="24">
        <v>2521</v>
      </c>
      <c r="B1261" s="2"/>
      <c r="C1261" s="54" t="s">
        <v>3020</v>
      </c>
      <c r="D1261" s="55"/>
      <c r="E1261" s="24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1:27" ht="15.75" customHeight="1">
      <c r="A1262" s="24">
        <v>2522</v>
      </c>
      <c r="B1262" s="2"/>
      <c r="C1262" s="54"/>
      <c r="D1262" s="55"/>
      <c r="E1262" s="24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1:27" ht="15.75" customHeight="1">
      <c r="A1263" s="24">
        <v>2523</v>
      </c>
      <c r="B1263" s="2"/>
      <c r="C1263" s="54"/>
      <c r="D1263" s="55"/>
      <c r="E1263" s="24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1:27" ht="15.75" customHeight="1">
      <c r="A1264" s="24">
        <v>2524</v>
      </c>
      <c r="B1264" s="2"/>
      <c r="C1264" s="54"/>
      <c r="D1264" s="55"/>
      <c r="E1264" s="24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1:27" ht="15.75" customHeight="1">
      <c r="A1265" s="24">
        <v>2525</v>
      </c>
      <c r="B1265" s="2"/>
      <c r="C1265" s="54"/>
      <c r="D1265" s="55"/>
      <c r="E1265" s="24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 spans="1:27" ht="15.75" customHeight="1">
      <c r="A1266" s="24">
        <v>2526</v>
      </c>
      <c r="B1266" s="2"/>
      <c r="C1266" s="54"/>
      <c r="D1266" s="55"/>
      <c r="E1266" s="24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1:27" ht="15.75" customHeight="1">
      <c r="A1267" s="24">
        <v>2527</v>
      </c>
      <c r="B1267" s="2"/>
      <c r="C1267" s="54"/>
      <c r="D1267" s="55"/>
      <c r="E1267" s="24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 spans="1:27" ht="15.75" customHeight="1">
      <c r="A1268" s="24">
        <v>2528</v>
      </c>
      <c r="B1268" s="2"/>
      <c r="C1268" s="54"/>
      <c r="D1268" s="55"/>
      <c r="E1268" s="24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ht="15.75" customHeight="1">
      <c r="A1269" s="24">
        <v>2529</v>
      </c>
      <c r="B1269" s="1"/>
      <c r="C1269" s="54"/>
      <c r="D1269" s="55"/>
      <c r="E1269" s="24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1:27" ht="15.75" customHeight="1">
      <c r="A1270" s="24">
        <v>2530</v>
      </c>
      <c r="B1270" s="2" t="s">
        <v>3021</v>
      </c>
      <c r="C1270" s="54" t="s">
        <v>3022</v>
      </c>
      <c r="D1270" s="55"/>
      <c r="E1270" s="24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ht="15.75" customHeight="1">
      <c r="A1271" s="24">
        <v>2531</v>
      </c>
      <c r="B1271" s="2" t="s">
        <v>3023</v>
      </c>
      <c r="C1271" s="54" t="s">
        <v>3024</v>
      </c>
      <c r="D1271" s="55"/>
      <c r="E1271" s="24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 spans="1:27" ht="15.75" customHeight="1">
      <c r="A1272" s="24">
        <v>2532</v>
      </c>
      <c r="B1272" s="2" t="s">
        <v>3025</v>
      </c>
      <c r="C1272" s="54" t="s">
        <v>3026</v>
      </c>
      <c r="D1272" s="55"/>
      <c r="E1272" s="24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 spans="1:27" ht="15.75" customHeight="1">
      <c r="A1273" s="24">
        <v>2533</v>
      </c>
      <c r="B1273" s="2" t="s">
        <v>3027</v>
      </c>
      <c r="C1273" s="54" t="s">
        <v>3028</v>
      </c>
      <c r="D1273" s="55"/>
      <c r="E1273" s="24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 spans="1:27" ht="15.75" customHeight="1">
      <c r="A1274" s="24">
        <v>2534</v>
      </c>
      <c r="B1274" s="2" t="s">
        <v>3029</v>
      </c>
      <c r="C1274" s="54" t="s">
        <v>3030</v>
      </c>
      <c r="D1274" s="55"/>
      <c r="E1274" s="24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 spans="1:27" ht="15.75" customHeight="1">
      <c r="A1275" s="24">
        <v>2535</v>
      </c>
      <c r="B1275" s="2" t="s">
        <v>3031</v>
      </c>
      <c r="C1275" s="54" t="s">
        <v>3032</v>
      </c>
      <c r="D1275" s="55"/>
      <c r="E1275" s="24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1:27" ht="15.75" customHeight="1">
      <c r="A1276" s="24">
        <v>2536</v>
      </c>
      <c r="B1276" s="2" t="s">
        <v>3033</v>
      </c>
      <c r="C1276" s="54" t="s">
        <v>3034</v>
      </c>
      <c r="D1276" s="55"/>
      <c r="E1276" s="24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1:27" ht="15.75" customHeight="1">
      <c r="A1277" s="24">
        <v>2537</v>
      </c>
      <c r="B1277" s="2"/>
      <c r="C1277" s="54"/>
      <c r="D1277" s="55"/>
      <c r="E1277" s="24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 spans="1:27" ht="15.75" customHeight="1">
      <c r="A1278" s="24">
        <v>2538</v>
      </c>
      <c r="B1278" s="24"/>
      <c r="C1278" s="54"/>
      <c r="D1278" s="55"/>
      <c r="E1278" s="24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 spans="1:27" ht="15.75" customHeight="1">
      <c r="A1279" s="24">
        <v>2539</v>
      </c>
      <c r="B1279" s="24"/>
      <c r="C1279" s="54"/>
      <c r="D1279" s="55"/>
      <c r="E1279" s="24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1:27" ht="15.75" customHeight="1">
      <c r="A1280" s="24">
        <v>2540</v>
      </c>
      <c r="B1280" s="24"/>
      <c r="C1280" s="54"/>
      <c r="D1280" s="55"/>
      <c r="E1280" s="24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 spans="1:27" ht="15.75" customHeight="1">
      <c r="A1281" s="24">
        <v>2541</v>
      </c>
      <c r="B1281" s="24"/>
      <c r="C1281" s="54"/>
      <c r="D1281" s="55"/>
      <c r="E1281" s="24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ht="15.75" customHeight="1">
      <c r="A1282" s="24">
        <v>2542</v>
      </c>
      <c r="B1282" s="24"/>
      <c r="C1282" s="54"/>
      <c r="D1282" s="55"/>
      <c r="E1282" s="24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 spans="1:27" ht="15.75" customHeight="1">
      <c r="A1283" s="24">
        <v>2543</v>
      </c>
      <c r="B1283" s="24"/>
      <c r="C1283" s="54"/>
      <c r="D1283" s="55"/>
      <c r="E1283" s="24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 spans="1:27" ht="15.75" customHeight="1">
      <c r="A1284" s="24">
        <v>2544</v>
      </c>
      <c r="B1284" s="24"/>
      <c r="C1284" s="54"/>
      <c r="D1284" s="55"/>
      <c r="E1284" s="24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 spans="1:27" ht="15.75" customHeight="1">
      <c r="A1285" s="24">
        <v>2545</v>
      </c>
      <c r="B1285" s="24"/>
      <c r="C1285" s="54"/>
      <c r="D1285" s="55"/>
      <c r="E1285" s="24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 spans="1:27" ht="15.75" customHeight="1">
      <c r="A1286" s="24">
        <v>2546</v>
      </c>
      <c r="B1286" s="24"/>
      <c r="C1286" s="54"/>
      <c r="D1286" s="55"/>
      <c r="E1286" s="24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 spans="1:27" ht="15.75" customHeight="1">
      <c r="A1287" s="24">
        <v>2547</v>
      </c>
      <c r="B1287" s="24"/>
      <c r="C1287" s="54"/>
      <c r="D1287" s="55"/>
      <c r="E1287" s="24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 spans="1:27" ht="15.75" customHeight="1">
      <c r="A1288" s="24">
        <v>2548</v>
      </c>
      <c r="B1288" s="24"/>
      <c r="C1288" s="54"/>
      <c r="D1288" s="55"/>
      <c r="E1288" s="24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 spans="1:27" ht="15.75" customHeight="1">
      <c r="A1289" s="24">
        <v>2549</v>
      </c>
      <c r="B1289" s="24"/>
      <c r="C1289" s="54"/>
      <c r="D1289" s="55"/>
      <c r="E1289" s="24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 spans="1:27" ht="15.75" customHeight="1">
      <c r="A1290" s="24">
        <v>2550</v>
      </c>
      <c r="B1290" s="24"/>
      <c r="C1290" s="54"/>
      <c r="D1290" s="55"/>
      <c r="E1290" s="24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 spans="1:27" ht="15.75" customHeight="1">
      <c r="A1291" s="24">
        <v>2551</v>
      </c>
      <c r="B1291" s="24" t="s">
        <v>3035</v>
      </c>
      <c r="C1291" s="54" t="s">
        <v>3036</v>
      </c>
      <c r="D1291" s="55"/>
      <c r="E1291" s="24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 spans="1:27" ht="15.75" customHeight="1">
      <c r="A1292" s="24"/>
      <c r="B1292" s="24"/>
      <c r="C1292" s="54"/>
      <c r="D1292" s="55"/>
      <c r="E1292" s="24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 spans="1:27" ht="15.75" customHeight="1">
      <c r="A1293" s="24"/>
      <c r="B1293" s="24"/>
      <c r="C1293" s="54"/>
      <c r="D1293" s="55"/>
      <c r="E1293" s="24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 spans="1:27" ht="15.75" customHeight="1">
      <c r="A1294" s="24"/>
      <c r="B1294" s="24"/>
      <c r="C1294" s="54"/>
      <c r="D1294" s="55"/>
      <c r="E1294" s="24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 spans="1:27" ht="15.75" customHeight="1">
      <c r="A1295" s="24"/>
      <c r="B1295" s="24"/>
      <c r="C1295" s="54"/>
      <c r="D1295" s="55"/>
      <c r="E1295" s="24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 spans="1:27" ht="15.75" customHeight="1">
      <c r="A1296" s="1"/>
      <c r="B1296" s="1"/>
      <c r="C1296" s="1"/>
      <c r="D1296" s="2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 spans="1:27" ht="15.75" customHeight="1">
      <c r="A1297" s="58" t="s">
        <v>3037</v>
      </c>
      <c r="B1297" s="58"/>
      <c r="C1297" s="1"/>
      <c r="D1297" s="2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 spans="1:27" ht="15.75" customHeight="1">
      <c r="A1298" s="24">
        <v>3001</v>
      </c>
      <c r="B1298" s="1" t="s">
        <v>3038</v>
      </c>
      <c r="C1298" s="54" t="s">
        <v>3039</v>
      </c>
      <c r="D1298" s="2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 spans="1:27" ht="15.75" customHeight="1">
      <c r="A1299" s="24">
        <v>3002</v>
      </c>
      <c r="B1299" s="1" t="s">
        <v>3040</v>
      </c>
      <c r="C1299" s="54" t="s">
        <v>3041</v>
      </c>
      <c r="D1299" s="2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 spans="1:27" ht="15.75" customHeight="1">
      <c r="A1300" s="24">
        <v>3003</v>
      </c>
      <c r="B1300" s="1" t="s">
        <v>3042</v>
      </c>
      <c r="C1300" s="54" t="s">
        <v>3043</v>
      </c>
      <c r="D1300" s="2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 spans="1:27" ht="15.75" customHeight="1">
      <c r="A1301" s="24">
        <v>3004</v>
      </c>
      <c r="B1301" s="1" t="s">
        <v>3044</v>
      </c>
      <c r="C1301" s="54" t="s">
        <v>3045</v>
      </c>
      <c r="D1301" s="2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 spans="1:27" ht="15.75" customHeight="1">
      <c r="A1302" s="24">
        <v>3101</v>
      </c>
      <c r="B1302" s="1" t="s">
        <v>3046</v>
      </c>
      <c r="C1302" s="54" t="s">
        <v>3047</v>
      </c>
      <c r="D1302" s="2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 spans="1:27" ht="15.75" customHeight="1">
      <c r="A1303" s="24">
        <v>3102</v>
      </c>
      <c r="B1303" s="1" t="s">
        <v>3048</v>
      </c>
      <c r="C1303" s="54" t="s">
        <v>3049</v>
      </c>
      <c r="D1303" s="2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 spans="1:27" ht="15.75" customHeight="1">
      <c r="A1304" s="24">
        <v>3103</v>
      </c>
      <c r="B1304" s="1" t="s">
        <v>3050</v>
      </c>
      <c r="C1304" s="54" t="s">
        <v>3051</v>
      </c>
      <c r="D1304" s="2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 spans="1:27" ht="15.75" customHeight="1">
      <c r="A1305" s="24">
        <v>3104</v>
      </c>
      <c r="B1305" s="1" t="s">
        <v>3052</v>
      </c>
      <c r="C1305" s="54" t="s">
        <v>3053</v>
      </c>
      <c r="D1305" s="2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 spans="1:27" ht="15.75" customHeight="1">
      <c r="A1306" s="24">
        <v>3201</v>
      </c>
      <c r="B1306" s="1" t="s">
        <v>3054</v>
      </c>
      <c r="C1306" s="54" t="s">
        <v>3055</v>
      </c>
      <c r="D1306" s="2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ht="15.75" customHeight="1">
      <c r="A1307" s="24">
        <v>3202</v>
      </c>
      <c r="B1307" s="1" t="s">
        <v>3056</v>
      </c>
      <c r="C1307" s="54" t="s">
        <v>3057</v>
      </c>
      <c r="D1307" s="2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 spans="1:27" ht="15.75" customHeight="1">
      <c r="A1308" s="24">
        <v>3203</v>
      </c>
      <c r="B1308" s="1" t="s">
        <v>3058</v>
      </c>
      <c r="C1308" s="54" t="s">
        <v>3059</v>
      </c>
      <c r="D1308" s="2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 spans="1:27" ht="15.75" customHeight="1">
      <c r="A1309" s="24">
        <v>3204</v>
      </c>
      <c r="B1309" s="1" t="s">
        <v>3060</v>
      </c>
      <c r="C1309" s="54" t="s">
        <v>3061</v>
      </c>
      <c r="D1309" s="2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 spans="1:27" ht="15.75" customHeight="1">
      <c r="A1310" s="24">
        <v>3401</v>
      </c>
      <c r="B1310" s="1" t="s">
        <v>3062</v>
      </c>
      <c r="C1310" s="54" t="s">
        <v>3063</v>
      </c>
      <c r="D1310" s="2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 spans="1:27" ht="15.75" customHeight="1">
      <c r="A1311" s="24">
        <v>3402</v>
      </c>
      <c r="B1311" s="1" t="s">
        <v>3064</v>
      </c>
      <c r="C1311" s="54" t="s">
        <v>3065</v>
      </c>
      <c r="D1311" s="2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 spans="1:27" ht="15.75" customHeight="1">
      <c r="A1312" s="24">
        <v>3403</v>
      </c>
      <c r="B1312" s="1" t="s">
        <v>3066</v>
      </c>
      <c r="C1312" s="54" t="s">
        <v>3067</v>
      </c>
      <c r="D1312" s="2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 spans="1:27" ht="15.75" customHeight="1">
      <c r="A1313" s="24">
        <v>3404</v>
      </c>
      <c r="B1313" s="1" t="s">
        <v>3068</v>
      </c>
      <c r="C1313" s="54" t="s">
        <v>3069</v>
      </c>
      <c r="D1313" s="2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 spans="1:27" ht="15.75" customHeight="1">
      <c r="A1314" s="24">
        <v>3301</v>
      </c>
      <c r="B1314" s="1" t="s">
        <v>3070</v>
      </c>
      <c r="C1314" s="54" t="s">
        <v>3071</v>
      </c>
      <c r="D1314" s="2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 spans="1:27" ht="15.75" customHeight="1">
      <c r="A1315" s="24">
        <v>3302</v>
      </c>
      <c r="B1315" s="1" t="s">
        <v>3072</v>
      </c>
      <c r="C1315" s="54" t="s">
        <v>3073</v>
      </c>
      <c r="D1315" s="2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 spans="1:27" ht="15.75" customHeight="1">
      <c r="A1316" s="24">
        <v>3303</v>
      </c>
      <c r="B1316" s="1" t="s">
        <v>3074</v>
      </c>
      <c r="C1316" s="54" t="s">
        <v>3075</v>
      </c>
      <c r="D1316" s="2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 spans="1:27" ht="15.75" customHeight="1">
      <c r="A1317" s="24">
        <v>3304</v>
      </c>
      <c r="B1317" s="1" t="s">
        <v>3076</v>
      </c>
      <c r="C1317" s="54" t="s">
        <v>3077</v>
      </c>
      <c r="D1317" s="2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 spans="1:27" ht="15.75" customHeight="1">
      <c r="A1318" s="24"/>
      <c r="B1318" s="1"/>
      <c r="C1318" s="54"/>
      <c r="D1318" s="2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1:27" ht="15.75" customHeight="1">
      <c r="A1319" s="59"/>
      <c r="B1319" s="1"/>
      <c r="C1319" s="1"/>
      <c r="D1319" s="2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 spans="1:27" ht="15.75" customHeight="1">
      <c r="A1320" s="59">
        <v>3501</v>
      </c>
      <c r="B1320" s="32"/>
      <c r="C1320" s="1" t="s">
        <v>3078</v>
      </c>
      <c r="D1320" s="2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 spans="1:27" ht="15.75" customHeight="1">
      <c r="A1321" s="59">
        <v>3502</v>
      </c>
      <c r="B1321" s="1"/>
      <c r="C1321" s="1" t="s">
        <v>3079</v>
      </c>
      <c r="D1321" s="2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 spans="1:27" ht="15.75" customHeight="1">
      <c r="A1322" s="59">
        <v>3503</v>
      </c>
      <c r="B1322" s="1"/>
      <c r="C1322" s="1" t="s">
        <v>3080</v>
      </c>
      <c r="D1322" s="2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 spans="1:27" ht="15.75" customHeight="1">
      <c r="A1323" s="59">
        <v>3504</v>
      </c>
      <c r="B1323" s="1"/>
      <c r="C1323" s="1" t="s">
        <v>3081</v>
      </c>
      <c r="D1323" s="2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1:27" ht="15.75" customHeight="1">
      <c r="A1324" s="59">
        <v>3505</v>
      </c>
      <c r="B1324" s="1"/>
      <c r="C1324" s="1"/>
      <c r="D1324" s="2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1:27" ht="15.75" customHeight="1">
      <c r="A1325" s="59">
        <v>3506</v>
      </c>
      <c r="B1325" s="1"/>
      <c r="C1325" s="1"/>
      <c r="D1325" s="2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 spans="1:27" ht="15.75" customHeight="1">
      <c r="A1326" s="59">
        <v>3507</v>
      </c>
      <c r="B1326" s="1"/>
      <c r="C1326" s="1"/>
      <c r="D1326" s="2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 spans="1:27" ht="15.75" customHeight="1">
      <c r="A1327" s="59">
        <v>3508</v>
      </c>
      <c r="B1327" s="1"/>
      <c r="C1327" s="1"/>
      <c r="D1327" s="2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 spans="1:27" ht="15.75" customHeight="1">
      <c r="A1328" s="59">
        <v>3509</v>
      </c>
      <c r="B1328" s="1"/>
      <c r="C1328" s="1"/>
      <c r="D1328" s="2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 spans="1:27" ht="15.75" customHeight="1">
      <c r="A1329" s="59">
        <v>3510</v>
      </c>
      <c r="B1329" s="1"/>
      <c r="C1329" s="1"/>
      <c r="D1329" s="2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 spans="1:27" ht="15.75" customHeight="1">
      <c r="A1330" s="59">
        <v>3511</v>
      </c>
      <c r="B1330" s="1"/>
      <c r="C1330" s="1"/>
      <c r="D1330" s="2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 spans="1:27" ht="15.75" customHeight="1">
      <c r="A1331" s="59">
        <v>3512</v>
      </c>
      <c r="B1331" s="1"/>
      <c r="C1331" s="1"/>
      <c r="D1331" s="2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 spans="1:27" ht="15.75" customHeight="1">
      <c r="A1332" s="59">
        <v>3513</v>
      </c>
      <c r="B1332" s="1"/>
      <c r="C1332" s="1"/>
      <c r="D1332" s="2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 spans="1:27" ht="15.75" customHeight="1">
      <c r="A1333" s="59">
        <v>3514</v>
      </c>
      <c r="B1333" s="1"/>
      <c r="C1333" s="1"/>
      <c r="D1333" s="2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 spans="1:27" ht="15.75" customHeight="1">
      <c r="A1334" s="59">
        <v>3515</v>
      </c>
      <c r="B1334" s="1"/>
      <c r="C1334" s="1"/>
      <c r="D1334" s="2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 spans="1:27" ht="15.75" customHeight="1">
      <c r="A1335" s="59">
        <v>3516</v>
      </c>
      <c r="B1335" s="1"/>
      <c r="C1335" s="1"/>
      <c r="D1335" s="2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 spans="1:27" ht="15.75" customHeight="1">
      <c r="A1336" s="59">
        <v>3517</v>
      </c>
      <c r="B1336" s="1"/>
      <c r="C1336" s="1"/>
      <c r="D1336" s="2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 spans="1:27" ht="15.75" customHeight="1">
      <c r="A1337" s="59">
        <v>3518</v>
      </c>
      <c r="B1337" s="1"/>
      <c r="C1337" s="1"/>
      <c r="D1337" s="2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 spans="1:27" ht="15.75" customHeight="1">
      <c r="A1338" s="59">
        <v>3519</v>
      </c>
      <c r="B1338" s="1"/>
      <c r="C1338" s="1"/>
      <c r="D1338" s="2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 spans="1:27" ht="15.75" customHeight="1">
      <c r="A1339" s="59">
        <v>3520</v>
      </c>
      <c r="B1339" s="1"/>
      <c r="C1339" s="1"/>
      <c r="D1339" s="2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 spans="1:27" ht="15.75" customHeight="1">
      <c r="A1340" s="59">
        <v>3521</v>
      </c>
      <c r="B1340" s="1"/>
      <c r="C1340" s="1" t="s">
        <v>3082</v>
      </c>
      <c r="D1340" s="2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 spans="1:27" ht="15.75" customHeight="1">
      <c r="A1341" s="59">
        <v>3522</v>
      </c>
      <c r="B1341" s="1"/>
      <c r="C1341" s="1" t="s">
        <v>3083</v>
      </c>
      <c r="D1341" s="2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 spans="1:27" ht="15.75" customHeight="1">
      <c r="A1342" s="59"/>
      <c r="B1342" s="1"/>
      <c r="C1342" s="60"/>
      <c r="D1342" s="2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1:27" ht="15.75" customHeight="1">
      <c r="A1343" s="85" t="s">
        <v>3084</v>
      </c>
      <c r="B1343" s="81"/>
      <c r="C1343" s="82"/>
      <c r="D1343" s="2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 spans="1:27" ht="15.75" customHeight="1">
      <c r="A1344" s="59"/>
      <c r="B1344" s="1"/>
      <c r="C1344" s="60"/>
      <c r="D1344" s="2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 spans="1:27" ht="15.75" customHeight="1">
      <c r="A1345" s="59"/>
      <c r="B1345" s="1" t="s">
        <v>3085</v>
      </c>
      <c r="C1345" s="60" t="s">
        <v>3086</v>
      </c>
      <c r="D1345" s="2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 spans="1:27" ht="15.75" customHeight="1">
      <c r="A1346" s="59"/>
      <c r="B1346" s="1" t="s">
        <v>3087</v>
      </c>
      <c r="C1346" s="60" t="s">
        <v>3088</v>
      </c>
      <c r="D1346" s="2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 spans="1:27" ht="15.75" customHeight="1">
      <c r="A1347" s="59"/>
      <c r="B1347" s="1" t="s">
        <v>3089</v>
      </c>
      <c r="C1347" s="60" t="s">
        <v>3090</v>
      </c>
      <c r="D1347" s="2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 spans="1:27" ht="15.75" customHeight="1">
      <c r="A1348" s="59"/>
      <c r="B1348" s="1" t="s">
        <v>3091</v>
      </c>
      <c r="C1348" s="60" t="s">
        <v>3092</v>
      </c>
      <c r="D1348" s="2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 spans="1:27" ht="15.75" customHeight="1">
      <c r="A1349" s="59"/>
      <c r="B1349" s="1" t="s">
        <v>3093</v>
      </c>
      <c r="C1349" s="60" t="s">
        <v>3094</v>
      </c>
      <c r="D1349" s="2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 spans="1:27" ht="15.75" customHeight="1">
      <c r="A1350" s="59"/>
      <c r="B1350" s="1" t="s">
        <v>3095</v>
      </c>
      <c r="C1350" s="60" t="s">
        <v>3096</v>
      </c>
      <c r="D1350" s="2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 spans="1:27" ht="15.75" customHeight="1">
      <c r="A1351" s="59"/>
      <c r="B1351" s="1" t="s">
        <v>3097</v>
      </c>
      <c r="C1351" s="60" t="s">
        <v>3098</v>
      </c>
      <c r="D1351" s="2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 spans="1:27" ht="15.75" customHeight="1">
      <c r="A1352" s="59"/>
      <c r="B1352" s="1" t="s">
        <v>3099</v>
      </c>
      <c r="C1352" s="60" t="s">
        <v>3100</v>
      </c>
      <c r="D1352" s="2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 spans="1:27" ht="15.75" customHeight="1">
      <c r="A1353" s="59"/>
      <c r="B1353" s="1" t="s">
        <v>3101</v>
      </c>
      <c r="C1353" s="60" t="s">
        <v>3102</v>
      </c>
      <c r="D1353" s="2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1:27" ht="15.75" customHeight="1">
      <c r="A1354" s="59"/>
      <c r="B1354" s="1" t="s">
        <v>3103</v>
      </c>
      <c r="C1354" s="60" t="s">
        <v>3104</v>
      </c>
      <c r="D1354" s="2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 spans="1:27" ht="15.75" customHeight="1">
      <c r="A1355" s="59"/>
      <c r="B1355" s="1" t="s">
        <v>3105</v>
      </c>
      <c r="C1355" s="60" t="s">
        <v>3106</v>
      </c>
      <c r="D1355" s="2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 spans="1:27" ht="15.75" customHeight="1">
      <c r="A1356" s="59"/>
      <c r="B1356" s="1" t="s">
        <v>3107</v>
      </c>
      <c r="C1356" s="60"/>
      <c r="D1356" s="2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 spans="1:27" ht="15.75" customHeight="1">
      <c r="A1357" s="59"/>
      <c r="B1357" s="1"/>
      <c r="C1357" s="60"/>
      <c r="D1357" s="2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 spans="1:27" ht="15.75" customHeight="1">
      <c r="A1358" s="86" t="s">
        <v>3108</v>
      </c>
      <c r="B1358" s="82"/>
      <c r="C1358" s="1"/>
      <c r="D1358" s="2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 spans="1:27" ht="15.75" customHeight="1">
      <c r="A1359" s="24">
        <v>4001</v>
      </c>
      <c r="B1359" s="1" t="s">
        <v>3109</v>
      </c>
      <c r="C1359" s="54" t="s">
        <v>3110</v>
      </c>
      <c r="D1359" s="2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 spans="1:27" ht="15.75" customHeight="1">
      <c r="A1360" s="24">
        <v>4002</v>
      </c>
      <c r="B1360" s="1" t="s">
        <v>3111</v>
      </c>
      <c r="C1360" s="24" t="s">
        <v>3112</v>
      </c>
      <c r="D1360" s="2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 spans="1:27" ht="15.75" customHeight="1">
      <c r="A1361" s="24">
        <v>4801</v>
      </c>
      <c r="B1361" s="61" t="s">
        <v>3113</v>
      </c>
      <c r="C1361" s="24" t="s">
        <v>3114</v>
      </c>
      <c r="D1361" s="2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 spans="1:27" ht="15.75" customHeight="1">
      <c r="A1362" s="24">
        <v>4802</v>
      </c>
      <c r="B1362" s="61" t="s">
        <v>3115</v>
      </c>
      <c r="C1362" s="24" t="s">
        <v>3116</v>
      </c>
      <c r="D1362" s="2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 spans="1:27" ht="15.75" customHeight="1">
      <c r="A1363" s="24">
        <v>4601</v>
      </c>
      <c r="B1363" s="1" t="s">
        <v>3117</v>
      </c>
      <c r="C1363" s="24" t="s">
        <v>3118</v>
      </c>
      <c r="D1363" s="2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 spans="1:27" ht="15.75" customHeight="1">
      <c r="A1364" s="24">
        <v>4602</v>
      </c>
      <c r="B1364" s="1" t="s">
        <v>3119</v>
      </c>
      <c r="C1364" s="24" t="s">
        <v>3120</v>
      </c>
      <c r="D1364" s="2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 spans="1:27" ht="15.75" customHeight="1">
      <c r="A1365" s="24">
        <v>4701</v>
      </c>
      <c r="B1365" s="1" t="s">
        <v>3121</v>
      </c>
      <c r="C1365" s="24" t="s">
        <v>3122</v>
      </c>
      <c r="D1365" s="2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1:27" ht="15.75" customHeight="1">
      <c r="A1366" s="24">
        <v>4702</v>
      </c>
      <c r="B1366" s="1" t="s">
        <v>3123</v>
      </c>
      <c r="C1366" s="24" t="s">
        <v>3124</v>
      </c>
      <c r="D1366" s="2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 spans="1:27" ht="15.75" customHeight="1">
      <c r="A1367" s="24">
        <v>4101</v>
      </c>
      <c r="B1367" s="1" t="s">
        <v>3125</v>
      </c>
      <c r="C1367" s="24" t="s">
        <v>3126</v>
      </c>
      <c r="D1367" s="2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 spans="1:27" ht="15.75" customHeight="1">
      <c r="A1368" s="24">
        <v>4102</v>
      </c>
      <c r="B1368" s="1" t="s">
        <v>3127</v>
      </c>
      <c r="C1368" s="24" t="s">
        <v>3128</v>
      </c>
      <c r="D1368" s="2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 spans="1:27" ht="15.75" customHeight="1">
      <c r="A1369" s="24">
        <v>4041</v>
      </c>
      <c r="B1369" s="1" t="s">
        <v>3129</v>
      </c>
      <c r="C1369" s="24" t="s">
        <v>3130</v>
      </c>
      <c r="D1369" s="2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 spans="1:27" ht="15.75" customHeight="1">
      <c r="A1370" s="24">
        <v>4042</v>
      </c>
      <c r="B1370" s="1" t="s">
        <v>3131</v>
      </c>
      <c r="C1370" s="24" t="s">
        <v>3132</v>
      </c>
      <c r="D1370" s="2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 spans="1:27" ht="15.75" customHeight="1">
      <c r="A1371" s="24">
        <v>4043</v>
      </c>
      <c r="B1371" s="1" t="s">
        <v>3133</v>
      </c>
      <c r="C1371" s="24" t="s">
        <v>3134</v>
      </c>
      <c r="D1371" s="2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 spans="1:27" ht="15.75" customHeight="1">
      <c r="A1372" s="24">
        <v>4044</v>
      </c>
      <c r="B1372" s="1" t="s">
        <v>3135</v>
      </c>
      <c r="C1372" s="24" t="s">
        <v>3136</v>
      </c>
      <c r="D1372" s="2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 spans="1:27" ht="15.75" customHeight="1">
      <c r="A1373" s="24">
        <v>4045</v>
      </c>
      <c r="B1373" s="1"/>
      <c r="C1373" s="24" t="s">
        <v>3137</v>
      </c>
      <c r="D1373" s="2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 spans="1:27" ht="15.75" customHeight="1">
      <c r="A1374" s="1">
        <v>4046</v>
      </c>
      <c r="B1374" s="1"/>
      <c r="C1374" s="24" t="s">
        <v>3138</v>
      </c>
      <c r="D1374" s="2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 spans="1:27" ht="15.75" customHeight="1">
      <c r="A1375" s="24">
        <v>5000</v>
      </c>
      <c r="B1375" s="32" t="s">
        <v>3139</v>
      </c>
      <c r="C1375" s="24" t="s">
        <v>3140</v>
      </c>
      <c r="D1375" s="2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 spans="1:27" ht="15.75" customHeight="1">
      <c r="A1376" s="24">
        <v>5501</v>
      </c>
      <c r="B1376" s="32" t="s">
        <v>3141</v>
      </c>
      <c r="C1376" s="24" t="s">
        <v>3142</v>
      </c>
      <c r="D1376" s="2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 spans="1:27" ht="15.75" customHeight="1">
      <c r="A1377" s="24">
        <v>5502</v>
      </c>
      <c r="B1377" s="32" t="s">
        <v>3143</v>
      </c>
      <c r="C1377" s="24" t="s">
        <v>3144</v>
      </c>
      <c r="D1377" s="2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1:27" ht="15.75" customHeight="1">
      <c r="A1378" s="24">
        <v>5503</v>
      </c>
      <c r="B1378" s="32" t="s">
        <v>3145</v>
      </c>
      <c r="C1378" s="24" t="s">
        <v>3146</v>
      </c>
      <c r="D1378" s="2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 spans="1:27" ht="15.75" customHeight="1">
      <c r="A1379" s="24">
        <v>5504</v>
      </c>
      <c r="B1379" s="32" t="s">
        <v>3147</v>
      </c>
      <c r="C1379" s="24" t="s">
        <v>3148</v>
      </c>
      <c r="D1379" s="2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 spans="1:27" ht="15.75" customHeight="1">
      <c r="A1380" s="24">
        <v>5505</v>
      </c>
      <c r="B1380" s="32" t="s">
        <v>3149</v>
      </c>
      <c r="C1380" s="24" t="s">
        <v>3150</v>
      </c>
      <c r="D1380" s="2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 spans="1:27" ht="15.75" customHeight="1">
      <c r="A1381" s="24">
        <v>5506</v>
      </c>
      <c r="B1381" s="32" t="s">
        <v>3151</v>
      </c>
      <c r="C1381" s="54" t="s">
        <v>3152</v>
      </c>
      <c r="D1381" s="2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 spans="1:27" ht="15.75" customHeight="1">
      <c r="A1382" s="24">
        <v>5507</v>
      </c>
      <c r="B1382" s="32" t="s">
        <v>3153</v>
      </c>
      <c r="C1382" s="54" t="s">
        <v>3154</v>
      </c>
      <c r="D1382" s="2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 spans="1:27" ht="15.75" customHeight="1">
      <c r="A1383" s="24">
        <v>5508</v>
      </c>
      <c r="B1383" s="32" t="s">
        <v>3155</v>
      </c>
      <c r="C1383" s="54" t="s">
        <v>3156</v>
      </c>
      <c r="D1383" s="2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 spans="1:27" ht="15.75" customHeight="1">
      <c r="A1384" s="24">
        <v>5509</v>
      </c>
      <c r="B1384" s="32" t="s">
        <v>3157</v>
      </c>
      <c r="C1384" s="24" t="s">
        <v>3158</v>
      </c>
      <c r="D1384" s="2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 spans="1:27" ht="15.75" customHeight="1">
      <c r="A1385" s="24">
        <v>5510</v>
      </c>
      <c r="B1385" s="32" t="s">
        <v>3159</v>
      </c>
      <c r="C1385" s="54" t="s">
        <v>3160</v>
      </c>
      <c r="D1385" s="2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 spans="1:27" ht="15.75" customHeight="1">
      <c r="A1386" s="24">
        <v>5511</v>
      </c>
      <c r="B1386" s="32" t="s">
        <v>3161</v>
      </c>
      <c r="C1386" s="54" t="s">
        <v>3162</v>
      </c>
      <c r="D1386" s="2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 spans="1:27" ht="15.75" customHeight="1">
      <c r="A1387" s="24">
        <v>5514</v>
      </c>
      <c r="B1387" s="32" t="s">
        <v>3163</v>
      </c>
      <c r="C1387" s="24" t="s">
        <v>3164</v>
      </c>
      <c r="D1387" s="2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 spans="1:27" ht="15.75" customHeight="1">
      <c r="A1388" s="24">
        <v>5515</v>
      </c>
      <c r="B1388" s="32" t="s">
        <v>3165</v>
      </c>
      <c r="C1388" s="24" t="s">
        <v>3166</v>
      </c>
      <c r="D1388" s="2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 spans="1:27" ht="15.75" customHeight="1">
      <c r="A1389" s="24">
        <v>5516</v>
      </c>
      <c r="B1389" s="32" t="s">
        <v>3167</v>
      </c>
      <c r="C1389" s="54" t="s">
        <v>3168</v>
      </c>
      <c r="D1389" s="2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 spans="1:27" ht="15.75" customHeight="1">
      <c r="A1390" s="24">
        <v>5517</v>
      </c>
      <c r="B1390" s="32" t="s">
        <v>3169</v>
      </c>
      <c r="C1390" s="54" t="s">
        <v>3170</v>
      </c>
      <c r="D1390" s="2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 spans="1:27" ht="15.75" customHeight="1">
      <c r="A1391" s="24">
        <v>5518</v>
      </c>
      <c r="B1391" s="32" t="s">
        <v>3171</v>
      </c>
      <c r="C1391" s="54" t="s">
        <v>3172</v>
      </c>
      <c r="D1391" s="2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 spans="1:27" ht="15.75" customHeight="1">
      <c r="A1392" s="62">
        <v>3505</v>
      </c>
      <c r="B1392" s="63" t="s">
        <v>3173</v>
      </c>
      <c r="C1392" s="64" t="s">
        <v>3174</v>
      </c>
      <c r="D1392" s="2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 spans="1:27" ht="15.75" customHeight="1">
      <c r="A1393" s="24">
        <v>3506</v>
      </c>
      <c r="B1393" s="65" t="s">
        <v>3175</v>
      </c>
      <c r="C1393" s="66" t="s">
        <v>3176</v>
      </c>
      <c r="D1393" s="2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 spans="1:27" ht="15.75" customHeight="1">
      <c r="A1394" s="24"/>
      <c r="B1394" s="32"/>
      <c r="C1394" s="1"/>
      <c r="D1394" s="2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1:27" ht="15.75" customHeight="1">
      <c r="A1395" s="24">
        <v>6006</v>
      </c>
      <c r="B1395" s="67" t="s">
        <v>3177</v>
      </c>
      <c r="C1395" s="1" t="s">
        <v>3178</v>
      </c>
      <c r="D1395" s="2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 spans="1:27" ht="15.75" customHeight="1">
      <c r="A1396" s="24">
        <v>6007</v>
      </c>
      <c r="B1396" s="32"/>
      <c r="C1396" s="1" t="s">
        <v>3179</v>
      </c>
      <c r="D1396" s="2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1:27" ht="15.75" customHeight="1">
      <c r="A1397" s="24"/>
      <c r="B1397" s="32"/>
      <c r="C1397" s="1"/>
      <c r="D1397" s="2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 spans="1:27" ht="15.75" customHeight="1">
      <c r="A1398" s="24"/>
      <c r="B1398" s="32"/>
      <c r="C1398" s="1"/>
      <c r="D1398" s="2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 spans="1:27" ht="15.75" customHeight="1">
      <c r="A1399" s="54">
        <v>6008</v>
      </c>
      <c r="B1399" s="32" t="s">
        <v>3180</v>
      </c>
      <c r="C1399" s="32" t="s">
        <v>3181</v>
      </c>
      <c r="D1399" s="2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 spans="1:27" ht="15.75" customHeight="1">
      <c r="A1400" s="54">
        <v>6009</v>
      </c>
      <c r="B1400" s="32" t="s">
        <v>3182</v>
      </c>
      <c r="C1400" s="32" t="s">
        <v>3183</v>
      </c>
      <c r="D1400" s="2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 spans="1:27" ht="15.75" customHeight="1">
      <c r="A1401" s="54">
        <v>6010</v>
      </c>
      <c r="B1401" s="32" t="s">
        <v>3184</v>
      </c>
      <c r="C1401" s="32" t="s">
        <v>3185</v>
      </c>
      <c r="D1401" s="2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 spans="1:27" ht="15.75" customHeight="1">
      <c r="A1402" s="54">
        <v>6011</v>
      </c>
      <c r="B1402" s="32" t="s">
        <v>3186</v>
      </c>
      <c r="C1402" s="32" t="s">
        <v>3187</v>
      </c>
      <c r="D1402" s="2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 spans="1:27" ht="15.75" customHeight="1">
      <c r="A1403" s="54">
        <v>6012</v>
      </c>
      <c r="B1403" s="32" t="s">
        <v>3188</v>
      </c>
      <c r="C1403" s="32" t="s">
        <v>3189</v>
      </c>
      <c r="D1403" s="2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 spans="1:27" ht="15.75" customHeight="1">
      <c r="A1404" s="54">
        <v>6013</v>
      </c>
      <c r="B1404" s="32" t="s">
        <v>3190</v>
      </c>
      <c r="C1404" s="32" t="s">
        <v>3191</v>
      </c>
      <c r="D1404" s="2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 spans="1:27" ht="15.75" customHeight="1">
      <c r="A1405" s="54">
        <v>6014</v>
      </c>
      <c r="B1405" s="32" t="s">
        <v>3192</v>
      </c>
      <c r="C1405" s="32" t="s">
        <v>3193</v>
      </c>
      <c r="D1405" s="2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 spans="1:27" ht="15.75" customHeight="1">
      <c r="A1406" s="54">
        <v>6015</v>
      </c>
      <c r="B1406" s="32" t="s">
        <v>3194</v>
      </c>
      <c r="C1406" s="32" t="s">
        <v>3195</v>
      </c>
      <c r="D1406" s="2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 spans="1:27" ht="15.75" customHeight="1">
      <c r="A1407" s="54">
        <v>6016</v>
      </c>
      <c r="B1407" s="32" t="s">
        <v>3196</v>
      </c>
      <c r="C1407" s="32" t="s">
        <v>3197</v>
      </c>
      <c r="D1407" s="2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 spans="1:27" ht="15.75" customHeight="1">
      <c r="A1408" s="54">
        <v>6017</v>
      </c>
      <c r="B1408" s="32" t="s">
        <v>3198</v>
      </c>
      <c r="C1408" s="32" t="s">
        <v>3199</v>
      </c>
      <c r="D1408" s="2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 spans="1:27" ht="15.75" customHeight="1">
      <c r="A1409" s="54">
        <v>6018</v>
      </c>
      <c r="B1409" s="32" t="s">
        <v>3200</v>
      </c>
      <c r="C1409" s="32" t="s">
        <v>3201</v>
      </c>
      <c r="D1409" s="2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 spans="1:27" ht="15.75" customHeight="1">
      <c r="A1410" s="54">
        <v>6019</v>
      </c>
      <c r="B1410" s="32" t="s">
        <v>3202</v>
      </c>
      <c r="C1410" s="32" t="s">
        <v>3203</v>
      </c>
      <c r="D1410" s="2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 spans="1:27" ht="15.75" customHeight="1">
      <c r="A1411" s="54">
        <v>6020</v>
      </c>
      <c r="B1411" s="32" t="s">
        <v>3204</v>
      </c>
      <c r="C1411" s="32" t="s">
        <v>3205</v>
      </c>
      <c r="D1411" s="2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 spans="1:27" ht="15.75" customHeight="1">
      <c r="A1412" s="54">
        <v>6021</v>
      </c>
      <c r="B1412" s="32" t="s">
        <v>3206</v>
      </c>
      <c r="C1412" s="32" t="s">
        <v>3207</v>
      </c>
      <c r="D1412" s="2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 spans="1:27" ht="15.75" customHeight="1">
      <c r="A1413" s="54">
        <v>6022</v>
      </c>
      <c r="B1413" s="32" t="s">
        <v>3208</v>
      </c>
      <c r="C1413" s="32" t="s">
        <v>3209</v>
      </c>
      <c r="D1413" s="2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 spans="1:27" ht="15.75" customHeight="1">
      <c r="A1414" s="54">
        <v>6023</v>
      </c>
      <c r="B1414" s="32" t="s">
        <v>3210</v>
      </c>
      <c r="C1414" s="1" t="s">
        <v>3211</v>
      </c>
      <c r="D1414" s="2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 spans="1:27" ht="15.75" customHeight="1">
      <c r="A1415" s="54">
        <v>6024</v>
      </c>
      <c r="B1415" s="32" t="s">
        <v>3212</v>
      </c>
      <c r="C1415" s="54" t="s">
        <v>3213</v>
      </c>
      <c r="D1415" s="2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 spans="1:27" ht="15.75" customHeight="1">
      <c r="A1416" s="54">
        <v>6025</v>
      </c>
      <c r="B1416" s="32" t="s">
        <v>3214</v>
      </c>
      <c r="C1416" s="1" t="s">
        <v>3215</v>
      </c>
      <c r="D1416" s="2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 spans="1:27" ht="15.75" customHeight="1">
      <c r="A1417" s="54">
        <v>6026</v>
      </c>
      <c r="B1417" s="32" t="s">
        <v>3216</v>
      </c>
      <c r="C1417" s="1" t="s">
        <v>3217</v>
      </c>
      <c r="D1417" s="2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 spans="1:27" ht="15.75" customHeight="1">
      <c r="A1418" s="54">
        <v>6027</v>
      </c>
      <c r="B1418" s="32" t="s">
        <v>3218</v>
      </c>
      <c r="C1418" s="32" t="s">
        <v>3219</v>
      </c>
      <c r="D1418" s="2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 spans="1:27" ht="15.75" customHeight="1">
      <c r="A1419" s="54">
        <v>6028</v>
      </c>
      <c r="B1419" s="32" t="s">
        <v>3220</v>
      </c>
      <c r="C1419" s="32" t="s">
        <v>3221</v>
      </c>
      <c r="D1419" s="2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 spans="1:27" ht="15.75" customHeight="1">
      <c r="A1420" s="54">
        <v>6029</v>
      </c>
      <c r="B1420" s="32" t="s">
        <v>3222</v>
      </c>
      <c r="C1420" s="32" t="s">
        <v>3223</v>
      </c>
      <c r="D1420" s="2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 spans="1:27" ht="15.75" customHeight="1">
      <c r="A1421" s="54">
        <v>6030</v>
      </c>
      <c r="B1421" s="32" t="s">
        <v>3224</v>
      </c>
      <c r="C1421" s="32" t="s">
        <v>3225</v>
      </c>
      <c r="D1421" s="2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 spans="1:27" ht="15.75" customHeight="1">
      <c r="A1422" s="54">
        <v>6031</v>
      </c>
      <c r="B1422" s="32" t="s">
        <v>3226</v>
      </c>
      <c r="C1422" s="32" t="s">
        <v>3227</v>
      </c>
      <c r="D1422" s="2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 spans="1:27" ht="15.75" customHeight="1">
      <c r="A1423" s="54">
        <v>6032</v>
      </c>
      <c r="B1423" s="32" t="s">
        <v>3228</v>
      </c>
      <c r="C1423" s="32" t="s">
        <v>3229</v>
      </c>
      <c r="D1423" s="2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 spans="1:27" ht="15.75" customHeight="1">
      <c r="A1424" s="54">
        <v>6033</v>
      </c>
      <c r="B1424" s="32" t="s">
        <v>3230</v>
      </c>
      <c r="C1424" s="32" t="s">
        <v>3231</v>
      </c>
      <c r="D1424" s="2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 spans="1:27" ht="15.75" customHeight="1">
      <c r="A1425" s="54">
        <v>6034</v>
      </c>
      <c r="B1425" s="32" t="s">
        <v>3232</v>
      </c>
      <c r="C1425" s="32" t="s">
        <v>3233</v>
      </c>
      <c r="D1425" s="2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 spans="1:27" ht="15.75" customHeight="1">
      <c r="A1426" s="54">
        <v>6035</v>
      </c>
      <c r="B1426" s="32" t="s">
        <v>3234</v>
      </c>
      <c r="C1426" s="32" t="s">
        <v>3235</v>
      </c>
      <c r="D1426" s="2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 spans="1:27" ht="15.75" customHeight="1">
      <c r="A1427" s="54">
        <v>6036</v>
      </c>
      <c r="B1427" s="32" t="s">
        <v>3236</v>
      </c>
      <c r="C1427" s="32" t="s">
        <v>3237</v>
      </c>
      <c r="D1427" s="2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 spans="1:27" ht="15.75" customHeight="1">
      <c r="A1428" s="54">
        <v>6037</v>
      </c>
      <c r="B1428" s="32" t="s">
        <v>3238</v>
      </c>
      <c r="C1428" s="32" t="s">
        <v>3239</v>
      </c>
      <c r="D1428" s="2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 spans="1:27" ht="15.75" customHeight="1">
      <c r="A1429" s="54">
        <v>6038</v>
      </c>
      <c r="B1429" s="32" t="s">
        <v>3240</v>
      </c>
      <c r="C1429" s="32" t="s">
        <v>3241</v>
      </c>
      <c r="D1429" s="2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 spans="1:27" ht="15.75" customHeight="1">
      <c r="A1430" s="54">
        <v>6039</v>
      </c>
      <c r="B1430" s="32" t="s">
        <v>3242</v>
      </c>
      <c r="C1430" s="32" t="s">
        <v>3243</v>
      </c>
      <c r="D1430" s="2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 spans="1:27" ht="15.75" customHeight="1">
      <c r="A1431" s="54">
        <v>6040</v>
      </c>
      <c r="B1431" s="32" t="s">
        <v>3244</v>
      </c>
      <c r="C1431" s="32" t="s">
        <v>3245</v>
      </c>
      <c r="D1431" s="2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 spans="1:27" ht="15.75" customHeight="1">
      <c r="A1432" s="54">
        <v>6041</v>
      </c>
      <c r="B1432" s="32" t="s">
        <v>3246</v>
      </c>
      <c r="C1432" s="32" t="s">
        <v>3247</v>
      </c>
      <c r="D1432" s="2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 spans="1:27" ht="15.75" customHeight="1">
      <c r="A1433" s="54">
        <v>6042</v>
      </c>
      <c r="B1433" s="32" t="s">
        <v>3248</v>
      </c>
      <c r="C1433" s="32" t="s">
        <v>3249</v>
      </c>
      <c r="D1433" s="2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 spans="1:27" ht="15.75" customHeight="1">
      <c r="A1434" s="54">
        <v>6043</v>
      </c>
      <c r="B1434" s="32" t="s">
        <v>3250</v>
      </c>
      <c r="C1434" s="32" t="s">
        <v>3251</v>
      </c>
      <c r="D1434" s="2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 spans="1:27" ht="15.75" customHeight="1">
      <c r="A1435" s="54">
        <v>6044</v>
      </c>
      <c r="B1435" s="32" t="s">
        <v>3252</v>
      </c>
      <c r="C1435" s="32" t="s">
        <v>3253</v>
      </c>
      <c r="D1435" s="2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 spans="1:27" ht="15.75" customHeight="1">
      <c r="A1436" s="54">
        <v>6045</v>
      </c>
      <c r="B1436" s="32" t="s">
        <v>3254</v>
      </c>
      <c r="C1436" s="32" t="s">
        <v>3255</v>
      </c>
      <c r="D1436" s="2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 spans="1:27" ht="15.75" customHeight="1">
      <c r="A1437" s="54">
        <v>6046</v>
      </c>
      <c r="B1437" s="32" t="s">
        <v>3256</v>
      </c>
      <c r="C1437" s="32" t="s">
        <v>3257</v>
      </c>
      <c r="D1437" s="2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 spans="1:27" ht="15.75" customHeight="1">
      <c r="A1438" s="54">
        <v>6047</v>
      </c>
      <c r="B1438" s="32" t="s">
        <v>3258</v>
      </c>
      <c r="C1438" s="32" t="s">
        <v>3259</v>
      </c>
      <c r="D1438" s="2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1:27" ht="15.75" customHeight="1">
      <c r="A1439" s="54">
        <v>6048</v>
      </c>
      <c r="B1439" s="32" t="s">
        <v>3260</v>
      </c>
      <c r="C1439" s="32" t="s">
        <v>3261</v>
      </c>
      <c r="D1439" s="2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 spans="1:27" ht="15.75" customHeight="1">
      <c r="A1440" s="54">
        <v>6049</v>
      </c>
      <c r="B1440" s="32" t="s">
        <v>3262</v>
      </c>
      <c r="C1440" s="32" t="s">
        <v>3263</v>
      </c>
      <c r="D1440" s="2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1:27" ht="15.75" customHeight="1">
      <c r="A1441" s="54">
        <v>6050</v>
      </c>
      <c r="B1441" s="32" t="s">
        <v>3264</v>
      </c>
      <c r="C1441" s="32" t="s">
        <v>3265</v>
      </c>
      <c r="D1441" s="2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 spans="1:27" ht="15.75" customHeight="1">
      <c r="A1442" s="54">
        <v>6051</v>
      </c>
      <c r="B1442" s="32" t="s">
        <v>3266</v>
      </c>
      <c r="C1442" s="32" t="s">
        <v>3267</v>
      </c>
      <c r="D1442" s="2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 spans="1:27" ht="15.75" customHeight="1">
      <c r="A1443" s="54">
        <v>6052</v>
      </c>
      <c r="B1443" s="32" t="s">
        <v>3268</v>
      </c>
      <c r="C1443" s="32" t="s">
        <v>3269</v>
      </c>
      <c r="D1443" s="2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 spans="1:27" ht="15.75" customHeight="1">
      <c r="A1444" s="54">
        <v>6053</v>
      </c>
      <c r="B1444" s="32" t="s">
        <v>3270</v>
      </c>
      <c r="C1444" s="32" t="s">
        <v>3271</v>
      </c>
      <c r="D1444" s="2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 spans="1:27" ht="15.75" customHeight="1">
      <c r="A1445" s="54">
        <v>6054</v>
      </c>
      <c r="B1445" s="32" t="s">
        <v>3272</v>
      </c>
      <c r="C1445" s="32" t="s">
        <v>3273</v>
      </c>
      <c r="D1445" s="2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 spans="1:27" ht="15.75" customHeight="1">
      <c r="A1446" s="54">
        <v>6055</v>
      </c>
      <c r="B1446" s="32" t="s">
        <v>3274</v>
      </c>
      <c r="C1446" s="32" t="s">
        <v>3275</v>
      </c>
      <c r="D1446" s="2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 spans="1:27" ht="15.75" customHeight="1">
      <c r="A1447" s="54">
        <v>6056</v>
      </c>
      <c r="B1447" s="32" t="s">
        <v>3276</v>
      </c>
      <c r="C1447" s="32" t="s">
        <v>3277</v>
      </c>
      <c r="D1447" s="2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 spans="1:27" ht="15.75" customHeight="1">
      <c r="A1448" s="54">
        <v>6057</v>
      </c>
      <c r="B1448" s="32" t="s">
        <v>3278</v>
      </c>
      <c r="C1448" s="32" t="s">
        <v>3279</v>
      </c>
      <c r="D1448" s="2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 spans="1:27" ht="15.75" customHeight="1">
      <c r="A1449" s="54">
        <v>6058</v>
      </c>
      <c r="B1449" s="32" t="s">
        <v>3280</v>
      </c>
      <c r="C1449" s="32" t="s">
        <v>3281</v>
      </c>
      <c r="D1449" s="2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 spans="1:27" ht="15.75" customHeight="1">
      <c r="A1450" s="54">
        <v>6059</v>
      </c>
      <c r="B1450" s="68" t="s">
        <v>3282</v>
      </c>
      <c r="C1450" s="69" t="s">
        <v>3283</v>
      </c>
      <c r="D1450" s="70" t="s">
        <v>3284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 spans="1:27" ht="15.75" customHeight="1">
      <c r="A1451" s="54">
        <v>6060</v>
      </c>
      <c r="B1451" s="32" t="s">
        <v>3285</v>
      </c>
      <c r="C1451" s="32" t="s">
        <v>3286</v>
      </c>
      <c r="D1451" s="2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 spans="1:27" ht="15.75" customHeight="1">
      <c r="A1452" s="54">
        <v>6061</v>
      </c>
      <c r="B1452" s="32" t="s">
        <v>3287</v>
      </c>
      <c r="C1452" s="32" t="s">
        <v>3288</v>
      </c>
      <c r="D1452" s="2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 spans="1:27" ht="15.75" customHeight="1">
      <c r="A1453" s="54">
        <v>6062</v>
      </c>
      <c r="B1453" s="32" t="s">
        <v>3289</v>
      </c>
      <c r="C1453" s="54" t="s">
        <v>3290</v>
      </c>
      <c r="D1453" s="2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 spans="1:27" ht="15.75" customHeight="1">
      <c r="A1454" s="54">
        <v>6063</v>
      </c>
      <c r="B1454" s="32" t="s">
        <v>3291</v>
      </c>
      <c r="C1454" s="32" t="s">
        <v>3292</v>
      </c>
      <c r="D1454" s="2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 spans="1:27" ht="15.75" customHeight="1">
      <c r="A1455" s="54">
        <v>6064</v>
      </c>
      <c r="B1455" s="32" t="s">
        <v>3293</v>
      </c>
      <c r="C1455" s="32" t="s">
        <v>3294</v>
      </c>
      <c r="D1455" s="2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 spans="1:27" ht="15.75" customHeight="1">
      <c r="A1456" s="54">
        <v>6065</v>
      </c>
      <c r="B1456" s="32" t="s">
        <v>3295</v>
      </c>
      <c r="C1456" s="32" t="s">
        <v>3296</v>
      </c>
      <c r="D1456" s="2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 spans="1:27" ht="15.75" customHeight="1">
      <c r="A1457" s="54">
        <v>6066</v>
      </c>
      <c r="B1457" s="32" t="s">
        <v>3297</v>
      </c>
      <c r="C1457" s="32" t="s">
        <v>3298</v>
      </c>
      <c r="D1457" s="2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 spans="1:27" ht="15.75" customHeight="1">
      <c r="A1458" s="71">
        <v>6101</v>
      </c>
      <c r="B1458" s="72" t="s">
        <v>3299</v>
      </c>
      <c r="C1458" s="72" t="s">
        <v>3300</v>
      </c>
      <c r="D1458" s="2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 spans="1:27" ht="15.75" customHeight="1">
      <c r="A1459" s="71">
        <v>6102</v>
      </c>
      <c r="B1459" s="72" t="s">
        <v>3301</v>
      </c>
      <c r="C1459" s="72" t="s">
        <v>3302</v>
      </c>
      <c r="D1459" s="2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 spans="1:27" ht="15.75" customHeight="1">
      <c r="A1460" s="71">
        <v>6103</v>
      </c>
      <c r="B1460" s="72" t="s">
        <v>3303</v>
      </c>
      <c r="C1460" s="72" t="s">
        <v>3302</v>
      </c>
      <c r="D1460" s="2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 spans="1:27" ht="15.75" customHeight="1">
      <c r="A1461" s="71">
        <v>6104</v>
      </c>
      <c r="B1461" s="72" t="s">
        <v>3304</v>
      </c>
      <c r="C1461" s="72" t="s">
        <v>3305</v>
      </c>
      <c r="D1461" s="2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 spans="1:27" ht="15.75" customHeight="1">
      <c r="A1462" s="71">
        <v>6105</v>
      </c>
      <c r="B1462" s="72" t="s">
        <v>3306</v>
      </c>
      <c r="C1462" s="72" t="s">
        <v>3307</v>
      </c>
      <c r="D1462" s="2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 spans="1:27" ht="15.75" customHeight="1">
      <c r="A1463" s="71">
        <v>6106</v>
      </c>
      <c r="B1463" s="72" t="s">
        <v>3308</v>
      </c>
      <c r="C1463" s="72" t="s">
        <v>3309</v>
      </c>
      <c r="D1463" s="2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 spans="1:27" ht="15.75" customHeight="1">
      <c r="A1464" s="71">
        <v>6107</v>
      </c>
      <c r="B1464" s="72" t="s">
        <v>3310</v>
      </c>
      <c r="C1464" s="72" t="s">
        <v>3311</v>
      </c>
      <c r="D1464" s="2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 spans="1:27" ht="15.75" customHeight="1">
      <c r="A1465" s="71">
        <v>6108</v>
      </c>
      <c r="B1465" s="72" t="s">
        <v>3312</v>
      </c>
      <c r="C1465" s="72" t="s">
        <v>3313</v>
      </c>
      <c r="D1465" s="2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 spans="1:27" ht="15.75" customHeight="1">
      <c r="A1466" s="71">
        <v>6109</v>
      </c>
      <c r="B1466" s="72" t="s">
        <v>3314</v>
      </c>
      <c r="C1466" s="72" t="s">
        <v>3315</v>
      </c>
      <c r="D1466" s="2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 spans="1:27" ht="15.75" customHeight="1">
      <c r="A1467" s="71">
        <v>6110</v>
      </c>
      <c r="B1467" s="72" t="s">
        <v>3316</v>
      </c>
      <c r="C1467" s="72" t="s">
        <v>3317</v>
      </c>
      <c r="D1467" s="2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 spans="1:27" ht="15.75" customHeight="1">
      <c r="A1468" s="71">
        <v>6111</v>
      </c>
      <c r="B1468" s="72" t="s">
        <v>3318</v>
      </c>
      <c r="C1468" s="72" t="s">
        <v>3319</v>
      </c>
      <c r="D1468" s="2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 spans="1:27" ht="15.75" customHeight="1">
      <c r="A1469" s="71">
        <v>6120</v>
      </c>
      <c r="B1469" s="72" t="s">
        <v>3320</v>
      </c>
      <c r="C1469" s="72" t="s">
        <v>3321</v>
      </c>
      <c r="D1469" s="2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 spans="1:27" ht="15.75" customHeight="1">
      <c r="A1470" s="71">
        <v>6121</v>
      </c>
      <c r="B1470" s="72" t="s">
        <v>3322</v>
      </c>
      <c r="C1470" s="72" t="s">
        <v>3323</v>
      </c>
      <c r="D1470" s="2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 spans="1:27" ht="15.75" customHeight="1">
      <c r="A1471" s="71">
        <v>6122</v>
      </c>
      <c r="B1471" s="72" t="s">
        <v>3324</v>
      </c>
      <c r="C1471" s="72" t="s">
        <v>3325</v>
      </c>
      <c r="D1471" s="2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 spans="1:27" ht="15.75" customHeight="1">
      <c r="A1472" s="71">
        <v>6141</v>
      </c>
      <c r="B1472" s="72" t="s">
        <v>3326</v>
      </c>
      <c r="C1472" s="72" t="s">
        <v>3327</v>
      </c>
      <c r="D1472" s="2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 spans="1:27" ht="15.75" customHeight="1">
      <c r="A1473" s="71">
        <v>6142</v>
      </c>
      <c r="B1473" s="72" t="s">
        <v>3328</v>
      </c>
      <c r="C1473" s="72" t="s">
        <v>3329</v>
      </c>
      <c r="D1473" s="2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 spans="1:27" ht="15.75" customHeight="1">
      <c r="A1474" s="71">
        <v>6161</v>
      </c>
      <c r="B1474" s="72" t="s">
        <v>3330</v>
      </c>
      <c r="C1474" s="72" t="s">
        <v>3331</v>
      </c>
      <c r="D1474" s="2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 spans="1:27" ht="15.75" customHeight="1">
      <c r="A1475" s="71">
        <v>6162</v>
      </c>
      <c r="B1475" s="72" t="s">
        <v>3332</v>
      </c>
      <c r="C1475" s="72" t="s">
        <v>3333</v>
      </c>
      <c r="D1475" s="2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 spans="1:27" ht="15.75" customHeight="1">
      <c r="A1476" s="71">
        <v>6163</v>
      </c>
      <c r="B1476" s="72" t="s">
        <v>3334</v>
      </c>
      <c r="C1476" s="72" t="s">
        <v>3335</v>
      </c>
      <c r="D1476" s="2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 spans="1:27" ht="15.75" customHeight="1">
      <c r="A1477" s="71">
        <v>6164</v>
      </c>
      <c r="B1477" s="72" t="s">
        <v>3336</v>
      </c>
      <c r="C1477" s="72" t="s">
        <v>3337</v>
      </c>
      <c r="D1477" s="2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 spans="1:27" ht="15.75" customHeight="1">
      <c r="A1478" s="73"/>
      <c r="B1478" s="32"/>
      <c r="C1478" s="32"/>
      <c r="D1478" s="2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 spans="1:27" ht="15.75" customHeight="1">
      <c r="A1479" s="71">
        <v>6200</v>
      </c>
      <c r="B1479" s="72" t="s">
        <v>3338</v>
      </c>
      <c r="C1479" s="72" t="s">
        <v>3339</v>
      </c>
      <c r="D1479" s="2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 spans="1:27" ht="15.75" customHeight="1">
      <c r="A1480" s="80" t="s">
        <v>3340</v>
      </c>
      <c r="B1480" s="81"/>
      <c r="C1480" s="82"/>
      <c r="D1480" s="2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 spans="1:27" ht="15.75" customHeight="1">
      <c r="A1481" s="71">
        <v>6201</v>
      </c>
      <c r="B1481" s="1"/>
      <c r="C1481" s="72" t="s">
        <v>3341</v>
      </c>
      <c r="D1481" s="74"/>
      <c r="E1481" s="72" t="s">
        <v>3342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 spans="1:27" ht="15.75" customHeight="1">
      <c r="A1482" s="71">
        <v>6202</v>
      </c>
      <c r="B1482" s="1"/>
      <c r="C1482" s="72" t="s">
        <v>3343</v>
      </c>
      <c r="D1482" s="74"/>
      <c r="E1482" s="72" t="s">
        <v>3342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 spans="1:27" ht="15.75" customHeight="1">
      <c r="A1483" s="71">
        <v>6203</v>
      </c>
      <c r="B1483" s="1"/>
      <c r="C1483" s="72" t="s">
        <v>3344</v>
      </c>
      <c r="D1483" s="74"/>
      <c r="E1483" s="72" t="s">
        <v>3345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 spans="1:27" ht="15.75" customHeight="1">
      <c r="A1484" s="71">
        <v>6204</v>
      </c>
      <c r="B1484" s="1"/>
      <c r="C1484" s="72" t="s">
        <v>3346</v>
      </c>
      <c r="D1484" s="74"/>
      <c r="E1484" s="72" t="s">
        <v>3347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 spans="1:27" ht="15.75" customHeight="1">
      <c r="A1485" s="1"/>
      <c r="B1485" s="1"/>
      <c r="C1485" s="1"/>
      <c r="D1485" s="74"/>
      <c r="E1485" s="72" t="s">
        <v>3348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 spans="1:27" ht="15.75" customHeight="1">
      <c r="A1486" s="1"/>
      <c r="B1486" s="1"/>
      <c r="C1486" s="1"/>
      <c r="D1486" s="74"/>
      <c r="E1486" s="72" t="s">
        <v>3349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 spans="1:27" ht="15.75" customHeight="1">
      <c r="A1487" s="1"/>
      <c r="B1487" s="1"/>
      <c r="C1487" s="1"/>
      <c r="D1487" s="74"/>
      <c r="E1487" s="72" t="s">
        <v>3350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 spans="1:27" ht="15.75" customHeight="1">
      <c r="A1488" s="1"/>
      <c r="B1488" s="1"/>
      <c r="C1488" s="1"/>
      <c r="D1488" s="2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 spans="1:27" ht="15.75" customHeight="1">
      <c r="A1489" s="80" t="s">
        <v>3351</v>
      </c>
      <c r="B1489" s="81"/>
      <c r="C1489" s="82"/>
      <c r="D1489" s="2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 spans="1:27" ht="15.75" customHeight="1">
      <c r="A1490" s="71">
        <v>6301</v>
      </c>
      <c r="B1490" s="1"/>
      <c r="C1490" s="1" t="s">
        <v>3352</v>
      </c>
      <c r="D1490" s="2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 spans="1:27" ht="15.75" customHeight="1">
      <c r="A1491" s="71">
        <v>6311</v>
      </c>
      <c r="B1491" s="1"/>
      <c r="C1491" s="1" t="s">
        <v>3353</v>
      </c>
      <c r="D1491" s="2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 spans="1:27" ht="15.75" customHeight="1">
      <c r="A1492" s="71">
        <v>6321</v>
      </c>
      <c r="B1492" s="1"/>
      <c r="C1492" s="1" t="s">
        <v>3354</v>
      </c>
      <c r="D1492" s="2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 spans="1:27" ht="15.75" customHeight="1">
      <c r="A1493" s="71">
        <v>6331</v>
      </c>
      <c r="B1493" s="1"/>
      <c r="C1493" s="1" t="s">
        <v>3355</v>
      </c>
      <c r="D1493" s="2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 spans="1:27" ht="15.75" customHeight="1">
      <c r="A1494" s="80" t="s">
        <v>3356</v>
      </c>
      <c r="B1494" s="81"/>
      <c r="C1494" s="82"/>
      <c r="D1494" s="2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 spans="1:27" ht="15.75" customHeight="1">
      <c r="A1495" s="71">
        <v>6302</v>
      </c>
      <c r="B1495" s="1"/>
      <c r="C1495" s="1" t="s">
        <v>3352</v>
      </c>
      <c r="D1495" s="2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 spans="1:27" ht="15.75" customHeight="1">
      <c r="A1496" s="71">
        <v>6312</v>
      </c>
      <c r="B1496" s="1"/>
      <c r="C1496" s="1" t="s">
        <v>3353</v>
      </c>
      <c r="D1496" s="2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 spans="1:27" ht="15.75" customHeight="1">
      <c r="A1497" s="71">
        <v>6322</v>
      </c>
      <c r="B1497" s="1"/>
      <c r="C1497" s="1" t="s">
        <v>3354</v>
      </c>
      <c r="D1497" s="2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 spans="1:27" ht="15.75" customHeight="1">
      <c r="A1498" s="71">
        <v>6332</v>
      </c>
      <c r="B1498" s="1"/>
      <c r="C1498" s="1" t="s">
        <v>3355</v>
      </c>
      <c r="D1498" s="2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 spans="1:27" ht="15.75" customHeight="1">
      <c r="A1499" s="80" t="s">
        <v>3357</v>
      </c>
      <c r="B1499" s="81"/>
      <c r="C1499" s="82"/>
      <c r="D1499" s="2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 spans="1:27" ht="15.75" customHeight="1">
      <c r="A1500" s="71">
        <v>6303</v>
      </c>
      <c r="B1500" s="1"/>
      <c r="C1500" s="1" t="s">
        <v>3352</v>
      </c>
      <c r="D1500" s="2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 spans="1:27" ht="15.75" customHeight="1">
      <c r="A1501" s="71">
        <v>6313</v>
      </c>
      <c r="B1501" s="1"/>
      <c r="C1501" s="1" t="s">
        <v>3353</v>
      </c>
      <c r="D1501" s="2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 spans="1:27" ht="15.75" customHeight="1">
      <c r="A1502" s="71">
        <v>6323</v>
      </c>
      <c r="B1502" s="1"/>
      <c r="C1502" s="1" t="s">
        <v>3354</v>
      </c>
      <c r="D1502" s="2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 spans="1:27" ht="15.75" customHeight="1">
      <c r="A1503" s="71">
        <v>6333</v>
      </c>
      <c r="B1503" s="1"/>
      <c r="C1503" s="1" t="s">
        <v>3355</v>
      </c>
      <c r="D1503" s="2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 spans="1:27" ht="15.75" customHeight="1">
      <c r="A1504" s="80" t="s">
        <v>3358</v>
      </c>
      <c r="B1504" s="81"/>
      <c r="C1504" s="82"/>
      <c r="D1504" s="2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 spans="1:27" ht="15.75" customHeight="1">
      <c r="A1505" s="71">
        <v>6304</v>
      </c>
      <c r="B1505" s="1"/>
      <c r="C1505" s="1" t="s">
        <v>3352</v>
      </c>
      <c r="D1505" s="2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 spans="1:27" ht="15.75" customHeight="1">
      <c r="A1506" s="71">
        <v>6314</v>
      </c>
      <c r="B1506" s="1"/>
      <c r="C1506" s="1" t="s">
        <v>3353</v>
      </c>
      <c r="D1506" s="2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 spans="1:27" ht="15.75" customHeight="1">
      <c r="A1507" s="71">
        <v>6324</v>
      </c>
      <c r="B1507" s="1"/>
      <c r="C1507" s="1" t="s">
        <v>3354</v>
      </c>
      <c r="D1507" s="2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 spans="1:27" ht="15.75" customHeight="1">
      <c r="A1508" s="71">
        <v>6334</v>
      </c>
      <c r="B1508" s="1"/>
      <c r="C1508" s="1" t="s">
        <v>3355</v>
      </c>
      <c r="D1508" s="2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 spans="1:27" ht="15.75" customHeight="1">
      <c r="A1509" s="80" t="s">
        <v>3359</v>
      </c>
      <c r="B1509" s="81"/>
      <c r="C1509" s="82"/>
      <c r="D1509" s="2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 spans="1:27" ht="15.75" customHeight="1">
      <c r="A1510" s="71">
        <v>6305</v>
      </c>
      <c r="B1510" s="1"/>
      <c r="C1510" s="1" t="s">
        <v>3352</v>
      </c>
      <c r="D1510" s="2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 spans="1:27" ht="15.75" customHeight="1">
      <c r="A1511" s="71">
        <v>6315</v>
      </c>
      <c r="B1511" s="1"/>
      <c r="C1511" s="1" t="s">
        <v>3353</v>
      </c>
      <c r="D1511" s="2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 spans="1:27" ht="15.75" customHeight="1">
      <c r="A1512" s="71">
        <v>6325</v>
      </c>
      <c r="B1512" s="1"/>
      <c r="C1512" s="1" t="s">
        <v>3354</v>
      </c>
      <c r="D1512" s="2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 spans="1:27" ht="15.75" customHeight="1">
      <c r="A1513" s="71">
        <v>6335</v>
      </c>
      <c r="B1513" s="1"/>
      <c r="C1513" s="1" t="s">
        <v>3355</v>
      </c>
      <c r="D1513" s="2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r="1514" spans="1:27" ht="15.75" customHeight="1">
      <c r="A1514" s="71"/>
      <c r="B1514" s="1"/>
      <c r="C1514" s="1"/>
      <c r="D1514" s="2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r="1515" spans="1:27" ht="15.75" customHeight="1">
      <c r="A1515" s="71">
        <v>6350</v>
      </c>
      <c r="B1515" s="72" t="s">
        <v>3360</v>
      </c>
      <c r="C1515" s="1" t="s">
        <v>3361</v>
      </c>
      <c r="D1515" s="2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 spans="1:27" ht="15.75" customHeight="1">
      <c r="A1516" s="71">
        <v>6351</v>
      </c>
      <c r="B1516" s="72" t="s">
        <v>3362</v>
      </c>
      <c r="C1516" s="1" t="s">
        <v>3363</v>
      </c>
      <c r="D1516" s="2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 spans="1:27" ht="15.75" customHeight="1">
      <c r="A1517" s="1"/>
      <c r="B1517" s="1"/>
      <c r="C1517" s="1"/>
      <c r="D1517" s="2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r="1518" spans="1:27" ht="15.75" customHeight="1">
      <c r="A1518" s="1">
        <v>6352</v>
      </c>
      <c r="B1518" s="1" t="s">
        <v>3364</v>
      </c>
      <c r="C1518" s="1" t="s">
        <v>3365</v>
      </c>
      <c r="D1518" s="2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r="1519" spans="1:27" ht="15.75" customHeight="1">
      <c r="A1519" s="80" t="s">
        <v>3366</v>
      </c>
      <c r="B1519" s="81"/>
      <c r="C1519" s="82"/>
      <c r="D1519" s="2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r="1520" spans="1:27" ht="15.75" customHeight="1">
      <c r="A1520" s="1">
        <v>6353</v>
      </c>
      <c r="B1520" s="1" t="s">
        <v>3367</v>
      </c>
      <c r="C1520" s="1" t="s">
        <v>3368</v>
      </c>
      <c r="D1520" s="2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r="1521" spans="1:27" ht="15.75" customHeight="1">
      <c r="A1521" s="1">
        <v>6354</v>
      </c>
      <c r="B1521" s="1" t="s">
        <v>3369</v>
      </c>
      <c r="C1521" s="1" t="s">
        <v>3370</v>
      </c>
      <c r="D1521" s="2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 spans="1:27" ht="15.75" customHeight="1">
      <c r="A1522" s="1">
        <v>6355</v>
      </c>
      <c r="B1522" s="1" t="s">
        <v>3371</v>
      </c>
      <c r="C1522" s="1" t="s">
        <v>3372</v>
      </c>
      <c r="D1522" s="2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 spans="1:27" ht="15.75" customHeight="1">
      <c r="A1523" s="1">
        <v>6356</v>
      </c>
      <c r="B1523" s="1" t="s">
        <v>3373</v>
      </c>
      <c r="C1523" s="1" t="s">
        <v>3374</v>
      </c>
      <c r="D1523" s="2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r="1524" spans="1:27" ht="15.75" customHeight="1">
      <c r="A1524" s="1"/>
      <c r="B1524" s="1"/>
      <c r="C1524" s="1"/>
      <c r="D1524" s="2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r="1525" spans="1:27" ht="15.75" customHeight="1">
      <c r="A1525" s="1"/>
      <c r="B1525" s="1"/>
      <c r="C1525" s="1"/>
      <c r="D1525" s="2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r="1526" spans="1:27" ht="15.75" customHeight="1">
      <c r="A1526" s="1">
        <v>6370</v>
      </c>
      <c r="B1526" s="1" t="s">
        <v>3375</v>
      </c>
      <c r="C1526" s="1" t="s">
        <v>3376</v>
      </c>
      <c r="D1526" s="2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r="1527" spans="1:27" ht="15.75" customHeight="1">
      <c r="A1527" s="1">
        <v>6371</v>
      </c>
      <c r="B1527" s="1" t="s">
        <v>3377</v>
      </c>
      <c r="C1527" s="1" t="s">
        <v>3378</v>
      </c>
      <c r="D1527" s="2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 spans="1:27" ht="15.75" customHeight="1">
      <c r="A1528" s="32">
        <v>6372</v>
      </c>
      <c r="B1528" s="1" t="s">
        <v>3379</v>
      </c>
      <c r="C1528" s="1" t="s">
        <v>3380</v>
      </c>
      <c r="D1528" s="2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 spans="1:27" ht="15.75" customHeight="1">
      <c r="A1529" s="32">
        <v>6374</v>
      </c>
      <c r="B1529" s="1" t="s">
        <v>3381</v>
      </c>
      <c r="C1529" s="1" t="s">
        <v>3382</v>
      </c>
      <c r="D1529" s="2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r="1530" spans="1:27" ht="15.75" customHeight="1">
      <c r="A1530" s="32"/>
      <c r="B1530" s="1"/>
      <c r="C1530" s="1"/>
      <c r="D1530" s="2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r="1531" spans="1:27" ht="15.75" customHeight="1">
      <c r="A1531" s="32">
        <v>6375</v>
      </c>
      <c r="B1531" s="1" t="s">
        <v>3383</v>
      </c>
      <c r="C1531" s="1" t="s">
        <v>3384</v>
      </c>
      <c r="D1531" s="2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r="1532" spans="1:27" ht="15.75" customHeight="1">
      <c r="A1532" s="32">
        <v>6376</v>
      </c>
      <c r="B1532" s="1" t="s">
        <v>3385</v>
      </c>
      <c r="C1532" s="1" t="s">
        <v>3386</v>
      </c>
      <c r="D1532" s="2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r="1533" spans="1:27" ht="15.75" customHeight="1">
      <c r="A1533" s="32">
        <v>6377</v>
      </c>
      <c r="B1533" s="1" t="s">
        <v>3387</v>
      </c>
      <c r="C1533" s="1" t="s">
        <v>3388</v>
      </c>
      <c r="D1533" s="2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 spans="1:27" ht="15.75" customHeight="1">
      <c r="A1534" s="32">
        <v>6378</v>
      </c>
      <c r="B1534" s="1" t="s">
        <v>3389</v>
      </c>
      <c r="C1534" s="1" t="s">
        <v>3390</v>
      </c>
      <c r="D1534" s="2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 spans="1:27" ht="15.75" customHeight="1">
      <c r="A1535" s="32">
        <v>6379</v>
      </c>
      <c r="B1535" s="1" t="s">
        <v>3391</v>
      </c>
      <c r="C1535" s="1" t="s">
        <v>3392</v>
      </c>
      <c r="D1535" s="2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r="1536" spans="1:27" ht="15.75" customHeight="1">
      <c r="A1536" s="32">
        <v>6380</v>
      </c>
      <c r="B1536" s="1" t="s">
        <v>3393</v>
      </c>
      <c r="C1536" s="1" t="s">
        <v>3394</v>
      </c>
      <c r="D1536" s="2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r="1537" spans="1:27" ht="15.75" customHeight="1">
      <c r="A1537" s="32">
        <v>6381</v>
      </c>
      <c r="B1537" s="1" t="s">
        <v>3395</v>
      </c>
      <c r="C1537" s="32" t="s">
        <v>3396</v>
      </c>
      <c r="D1537" s="2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r="1538" spans="1:27" ht="15.75" customHeight="1">
      <c r="A1538" s="32">
        <v>6382</v>
      </c>
      <c r="B1538" s="1" t="s">
        <v>3397</v>
      </c>
      <c r="C1538" s="32" t="s">
        <v>3398</v>
      </c>
      <c r="D1538" s="75"/>
      <c r="E1538" s="32"/>
      <c r="F1538" s="32"/>
      <c r="G1538" s="32"/>
      <c r="H1538" s="32"/>
      <c r="I1538" s="32"/>
      <c r="J1538" s="32"/>
      <c r="K1538" s="32"/>
      <c r="L1538" s="32"/>
      <c r="M1538" s="32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  <c r="AA1538" s="32"/>
    </row>
    <row r="1539" spans="1:27" ht="15.75" customHeight="1">
      <c r="A1539" s="32">
        <v>6383</v>
      </c>
      <c r="B1539" s="1" t="s">
        <v>3399</v>
      </c>
      <c r="C1539" s="32" t="s">
        <v>3400</v>
      </c>
      <c r="D1539" s="75"/>
      <c r="E1539" s="32"/>
      <c r="F1539" s="32"/>
      <c r="G1539" s="32"/>
      <c r="H1539" s="32"/>
      <c r="I1539" s="32"/>
      <c r="J1539" s="32"/>
      <c r="K1539" s="32"/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  <c r="AA1539" s="32"/>
    </row>
    <row r="1540" spans="1:27" ht="15.75" customHeight="1">
      <c r="A1540" s="32">
        <v>6384</v>
      </c>
      <c r="B1540" s="1" t="s">
        <v>3401</v>
      </c>
      <c r="C1540" s="32" t="s">
        <v>3402</v>
      </c>
      <c r="D1540" s="75"/>
      <c r="E1540" s="32"/>
      <c r="F1540" s="32"/>
      <c r="G1540" s="32"/>
      <c r="H1540" s="32"/>
      <c r="I1540" s="32"/>
      <c r="J1540" s="32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  <c r="AA1540" s="32"/>
    </row>
    <row r="1541" spans="1:27" ht="15.75" customHeight="1">
      <c r="A1541" s="32">
        <v>6385</v>
      </c>
      <c r="B1541" s="1" t="s">
        <v>3403</v>
      </c>
      <c r="C1541" s="32" t="s">
        <v>3404</v>
      </c>
      <c r="D1541" s="75"/>
      <c r="E1541" s="32"/>
      <c r="F1541" s="32"/>
      <c r="G1541" s="32"/>
      <c r="H1541" s="32"/>
      <c r="I1541" s="32"/>
      <c r="J1541" s="32"/>
      <c r="K1541" s="32"/>
      <c r="L1541" s="32"/>
      <c r="M1541" s="32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  <c r="Y1541" s="32"/>
      <c r="Z1541" s="32"/>
      <c r="AA1541" s="32"/>
    </row>
    <row r="1542" spans="1:27" ht="15.75" customHeight="1">
      <c r="A1542" s="32">
        <v>6386</v>
      </c>
      <c r="B1542" s="1" t="s">
        <v>3405</v>
      </c>
      <c r="C1542" s="32" t="s">
        <v>3406</v>
      </c>
      <c r="D1542" s="75"/>
      <c r="E1542" s="32"/>
      <c r="F1542" s="32"/>
      <c r="G1542" s="32"/>
      <c r="H1542" s="32"/>
      <c r="I1542" s="32"/>
      <c r="J1542" s="32"/>
      <c r="K1542" s="32"/>
      <c r="L1542" s="32"/>
      <c r="M1542" s="32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/>
      <c r="AA1542" s="32"/>
    </row>
    <row r="1543" spans="1:27" ht="15.75" customHeight="1">
      <c r="A1543" s="32">
        <v>6387</v>
      </c>
      <c r="B1543" s="1" t="s">
        <v>3407</v>
      </c>
      <c r="C1543" s="32" t="s">
        <v>3408</v>
      </c>
      <c r="D1543" s="75"/>
      <c r="E1543" s="32"/>
      <c r="F1543" s="32"/>
      <c r="G1543" s="32"/>
      <c r="H1543" s="32"/>
      <c r="I1543" s="32"/>
      <c r="J1543" s="32"/>
      <c r="K1543" s="32"/>
      <c r="L1543" s="32"/>
      <c r="M1543" s="32"/>
      <c r="N1543" s="32"/>
      <c r="O1543" s="32"/>
      <c r="P1543" s="32"/>
      <c r="Q1543" s="32"/>
      <c r="R1543" s="32"/>
      <c r="S1543" s="32"/>
      <c r="T1543" s="32"/>
      <c r="U1543" s="32"/>
      <c r="V1543" s="32"/>
      <c r="W1543" s="32"/>
      <c r="X1543" s="32"/>
      <c r="Y1543" s="32"/>
      <c r="Z1543" s="32"/>
      <c r="AA1543" s="32"/>
    </row>
    <row r="1544" spans="1:27" ht="15.75" customHeight="1">
      <c r="A1544" s="32">
        <v>6388</v>
      </c>
      <c r="B1544" s="1" t="s">
        <v>3409</v>
      </c>
      <c r="C1544" s="32" t="s">
        <v>3410</v>
      </c>
      <c r="D1544" s="75"/>
      <c r="E1544" s="32"/>
      <c r="F1544" s="32"/>
      <c r="G1544" s="32"/>
      <c r="H1544" s="32"/>
      <c r="I1544" s="32"/>
      <c r="J1544" s="32"/>
      <c r="K1544" s="32"/>
      <c r="L1544" s="32"/>
      <c r="M1544" s="32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  <c r="Y1544" s="32"/>
      <c r="Z1544" s="32"/>
      <c r="AA1544" s="32"/>
    </row>
    <row r="1545" spans="1:27" ht="15.75" customHeight="1">
      <c r="A1545" s="32">
        <v>6389</v>
      </c>
      <c r="B1545" s="1" t="s">
        <v>3411</v>
      </c>
      <c r="C1545" s="32" t="s">
        <v>3412</v>
      </c>
      <c r="D1545" s="75"/>
      <c r="E1545" s="32"/>
      <c r="F1545" s="32"/>
      <c r="G1545" s="32"/>
      <c r="H1545" s="32"/>
      <c r="I1545" s="32"/>
      <c r="J1545" s="32"/>
      <c r="K1545" s="32"/>
      <c r="L1545" s="32"/>
      <c r="M1545" s="32"/>
      <c r="N1545" s="32"/>
      <c r="O1545" s="32"/>
      <c r="P1545" s="32"/>
      <c r="Q1545" s="32"/>
      <c r="R1545" s="32"/>
      <c r="S1545" s="32"/>
      <c r="T1545" s="32"/>
      <c r="U1545" s="32"/>
      <c r="V1545" s="32"/>
      <c r="W1545" s="32"/>
      <c r="X1545" s="32"/>
      <c r="Y1545" s="32"/>
      <c r="Z1545" s="32"/>
      <c r="AA1545" s="32"/>
    </row>
    <row r="1546" spans="1:27" ht="15.75" customHeight="1">
      <c r="A1546" s="32" t="s">
        <v>3413</v>
      </c>
      <c r="B1546" s="1"/>
      <c r="C1546" s="32"/>
      <c r="D1546" s="75"/>
      <c r="E1546" s="32"/>
      <c r="F1546" s="32"/>
      <c r="G1546" s="32"/>
      <c r="H1546" s="32"/>
      <c r="I1546" s="32"/>
      <c r="J1546" s="32"/>
      <c r="K1546" s="32"/>
      <c r="L1546" s="32"/>
      <c r="M1546" s="32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/>
      <c r="AA1546" s="32"/>
    </row>
    <row r="1547" spans="1:27" ht="15.75" customHeight="1">
      <c r="A1547" s="32">
        <v>6400</v>
      </c>
      <c r="B1547" s="1" t="s">
        <v>3414</v>
      </c>
      <c r="C1547" s="32" t="s">
        <v>3415</v>
      </c>
      <c r="D1547" s="75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32"/>
    </row>
    <row r="1548" spans="1:27" ht="15.75" customHeight="1">
      <c r="A1548" s="32">
        <v>6401</v>
      </c>
      <c r="B1548" s="1"/>
      <c r="C1548" s="32" t="s">
        <v>3416</v>
      </c>
      <c r="D1548" s="75"/>
      <c r="E1548" s="32"/>
      <c r="F1548" s="32"/>
      <c r="G1548" s="32"/>
      <c r="H1548" s="32"/>
      <c r="I1548" s="32"/>
      <c r="J1548" s="32"/>
      <c r="K1548" s="32"/>
      <c r="L1548" s="32"/>
      <c r="M1548" s="32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  <c r="AA1548" s="32"/>
    </row>
    <row r="1549" spans="1:27" ht="15.75" customHeight="1">
      <c r="A1549" s="32">
        <v>6402</v>
      </c>
      <c r="B1549" s="1"/>
      <c r="C1549" s="32" t="s">
        <v>3417</v>
      </c>
      <c r="D1549" s="75"/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/>
      <c r="AA1549" s="32"/>
    </row>
    <row r="1550" spans="1:27" ht="15.75" customHeight="1">
      <c r="A1550" s="32">
        <v>6403</v>
      </c>
      <c r="B1550" s="1"/>
      <c r="C1550" s="32" t="s">
        <v>3418</v>
      </c>
      <c r="D1550" s="75"/>
      <c r="E1550" s="32"/>
      <c r="F1550" s="32"/>
      <c r="G1550" s="32"/>
      <c r="H1550" s="32"/>
      <c r="I1550" s="32"/>
      <c r="J1550" s="32"/>
      <c r="K1550" s="32"/>
      <c r="L1550" s="32"/>
      <c r="M1550" s="32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  <c r="AA1550" s="32"/>
    </row>
    <row r="1551" spans="1:27" ht="15.75" customHeight="1">
      <c r="A1551" s="32">
        <v>6404</v>
      </c>
      <c r="B1551" s="1"/>
      <c r="C1551" s="32" t="s">
        <v>3419</v>
      </c>
      <c r="D1551" s="75"/>
      <c r="E1551" s="32"/>
      <c r="F1551" s="32"/>
      <c r="G1551" s="32"/>
      <c r="H1551" s="32"/>
      <c r="I1551" s="32"/>
      <c r="J1551" s="32"/>
      <c r="K1551" s="32"/>
      <c r="L1551" s="32"/>
      <c r="M1551" s="32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/>
      <c r="AA1551" s="32"/>
    </row>
    <row r="1552" spans="1:27" ht="15.75" customHeight="1">
      <c r="A1552" s="32">
        <v>6405</v>
      </c>
      <c r="B1552" s="1"/>
      <c r="C1552" s="32" t="s">
        <v>3420</v>
      </c>
      <c r="D1552" s="75"/>
      <c r="E1552" s="32"/>
      <c r="F1552" s="32"/>
      <c r="G1552" s="32"/>
      <c r="H1552" s="32"/>
      <c r="I1552" s="32"/>
      <c r="J1552" s="32"/>
      <c r="K1552" s="32"/>
      <c r="L1552" s="32"/>
      <c r="M1552" s="32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  <c r="AA1552" s="32"/>
    </row>
    <row r="1553" spans="1:27" ht="15.75" customHeight="1">
      <c r="A1553" s="32">
        <v>6406</v>
      </c>
      <c r="B1553" s="1"/>
      <c r="C1553" s="32" t="s">
        <v>3421</v>
      </c>
      <c r="D1553" s="75"/>
      <c r="E1553" s="32"/>
      <c r="F1553" s="32"/>
      <c r="G1553" s="32"/>
      <c r="H1553" s="32"/>
      <c r="I1553" s="32"/>
      <c r="J1553" s="32"/>
      <c r="K1553" s="32"/>
      <c r="L1553" s="32"/>
      <c r="M1553" s="32"/>
      <c r="N1553" s="32"/>
      <c r="O1553" s="32"/>
      <c r="P1553" s="32"/>
      <c r="Q1553" s="32"/>
      <c r="R1553" s="32"/>
      <c r="S1553" s="32"/>
      <c r="T1553" s="32"/>
      <c r="U1553" s="32"/>
      <c r="V1553" s="32"/>
      <c r="W1553" s="32"/>
      <c r="X1553" s="32"/>
      <c r="Y1553" s="32"/>
      <c r="Z1553" s="32"/>
      <c r="AA1553" s="32"/>
    </row>
    <row r="1554" spans="1:27" ht="15.75" customHeight="1">
      <c r="A1554" s="32">
        <v>6407</v>
      </c>
      <c r="B1554" s="1"/>
      <c r="C1554" s="32" t="s">
        <v>3422</v>
      </c>
      <c r="D1554" s="75"/>
      <c r="E1554" s="32"/>
      <c r="F1554" s="32"/>
      <c r="G1554" s="32"/>
      <c r="H1554" s="32"/>
      <c r="I1554" s="32"/>
      <c r="J1554" s="32"/>
      <c r="K1554" s="32"/>
      <c r="L1554" s="32"/>
      <c r="M1554" s="32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  <c r="Y1554" s="32"/>
      <c r="Z1554" s="32"/>
      <c r="AA1554" s="32"/>
    </row>
    <row r="1555" spans="1:27" ht="15.75" customHeight="1">
      <c r="A1555" s="32">
        <v>6408</v>
      </c>
      <c r="B1555" s="1"/>
      <c r="C1555" s="32" t="s">
        <v>3423</v>
      </c>
      <c r="D1555" s="75"/>
      <c r="E1555" s="32"/>
      <c r="F1555" s="32"/>
      <c r="G1555" s="32"/>
      <c r="H1555" s="32"/>
      <c r="I1555" s="32"/>
      <c r="J1555" s="32"/>
      <c r="K1555" s="32"/>
      <c r="L1555" s="32"/>
      <c r="M1555" s="32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  <c r="Y1555" s="32"/>
      <c r="Z1555" s="32"/>
      <c r="AA1555" s="32"/>
    </row>
    <row r="1556" spans="1:27" ht="15.75" customHeight="1">
      <c r="A1556" s="32">
        <v>6409</v>
      </c>
      <c r="B1556" s="1"/>
      <c r="C1556" s="32" t="s">
        <v>3424</v>
      </c>
      <c r="D1556" s="75"/>
      <c r="E1556" s="32"/>
      <c r="F1556" s="32"/>
      <c r="G1556" s="32"/>
      <c r="H1556" s="32"/>
      <c r="I1556" s="32"/>
      <c r="J1556" s="32"/>
      <c r="K1556" s="32"/>
      <c r="L1556" s="32"/>
      <c r="M1556" s="32"/>
      <c r="N1556" s="32"/>
      <c r="O1556" s="32"/>
      <c r="P1556" s="32"/>
      <c r="Q1556" s="32"/>
      <c r="R1556" s="32"/>
      <c r="S1556" s="32"/>
      <c r="T1556" s="32"/>
      <c r="U1556" s="32"/>
      <c r="V1556" s="32"/>
      <c r="W1556" s="32"/>
      <c r="X1556" s="32"/>
      <c r="Y1556" s="32"/>
      <c r="Z1556" s="32"/>
      <c r="AA1556" s="32"/>
    </row>
    <row r="1557" spans="1:27" ht="15.75" customHeight="1">
      <c r="A1557" s="32">
        <v>6410</v>
      </c>
      <c r="B1557" s="1"/>
      <c r="C1557" s="32" t="s">
        <v>3425</v>
      </c>
      <c r="D1557" s="75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  <c r="AA1557" s="32"/>
    </row>
    <row r="1558" spans="1:27" ht="15.75" customHeight="1">
      <c r="A1558" s="32">
        <v>6411</v>
      </c>
      <c r="B1558" s="1"/>
      <c r="C1558" s="32" t="s">
        <v>3426</v>
      </c>
      <c r="D1558" s="75"/>
      <c r="E1558" s="32"/>
      <c r="F1558" s="32"/>
      <c r="G1558" s="32"/>
      <c r="H1558" s="32"/>
      <c r="I1558" s="32"/>
      <c r="J1558" s="32"/>
      <c r="K1558" s="32"/>
      <c r="L1558" s="32"/>
      <c r="M1558" s="32"/>
      <c r="N1558" s="32"/>
      <c r="O1558" s="32"/>
      <c r="P1558" s="32"/>
      <c r="Q1558" s="32"/>
      <c r="R1558" s="32"/>
      <c r="S1558" s="32"/>
      <c r="T1558" s="32"/>
      <c r="U1558" s="32"/>
      <c r="V1558" s="32"/>
      <c r="W1558" s="32"/>
      <c r="X1558" s="32"/>
      <c r="Y1558" s="32"/>
      <c r="Z1558" s="32"/>
      <c r="AA1558" s="32"/>
    </row>
    <row r="1559" spans="1:27" ht="15.75" customHeight="1">
      <c r="A1559" s="32">
        <v>6412</v>
      </c>
      <c r="B1559" s="1"/>
      <c r="C1559" s="32" t="s">
        <v>3427</v>
      </c>
      <c r="D1559" s="75"/>
      <c r="E1559" s="32"/>
      <c r="F1559" s="32"/>
      <c r="G1559" s="32"/>
      <c r="H1559" s="32"/>
      <c r="I1559" s="32"/>
      <c r="J1559" s="32"/>
      <c r="K1559" s="32"/>
      <c r="L1559" s="32"/>
      <c r="M1559" s="32"/>
      <c r="N1559" s="32"/>
      <c r="O1559" s="32"/>
      <c r="P1559" s="32"/>
      <c r="Q1559" s="32"/>
      <c r="R1559" s="32"/>
      <c r="S1559" s="32"/>
      <c r="T1559" s="32"/>
      <c r="U1559" s="32"/>
      <c r="V1559" s="32"/>
      <c r="W1559" s="32"/>
      <c r="X1559" s="32"/>
      <c r="Y1559" s="32"/>
      <c r="Z1559" s="32"/>
      <c r="AA1559" s="32"/>
    </row>
    <row r="1560" spans="1:27" ht="15.75" customHeight="1">
      <c r="A1560" s="32">
        <v>6413</v>
      </c>
      <c r="B1560" s="1"/>
      <c r="C1560" s="32" t="s">
        <v>3428</v>
      </c>
      <c r="D1560" s="75"/>
      <c r="E1560" s="32"/>
      <c r="F1560" s="32"/>
      <c r="G1560" s="32"/>
      <c r="H1560" s="32"/>
      <c r="I1560" s="32"/>
      <c r="J1560" s="32"/>
      <c r="K1560" s="32"/>
      <c r="L1560" s="32"/>
      <c r="M1560" s="32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/>
      <c r="X1560" s="32"/>
      <c r="Y1560" s="32"/>
      <c r="Z1560" s="32"/>
      <c r="AA1560" s="32"/>
    </row>
    <row r="1561" spans="1:27" ht="15.75" customHeight="1">
      <c r="A1561" s="32">
        <v>6414</v>
      </c>
      <c r="B1561" s="1"/>
      <c r="C1561" s="32" t="s">
        <v>3429</v>
      </c>
      <c r="D1561" s="75"/>
      <c r="E1561" s="32"/>
      <c r="F1561" s="32"/>
      <c r="G1561" s="32"/>
      <c r="H1561" s="32"/>
      <c r="I1561" s="32"/>
      <c r="J1561" s="32"/>
      <c r="K1561" s="32"/>
      <c r="L1561" s="32"/>
      <c r="M1561" s="32"/>
      <c r="N1561" s="32"/>
      <c r="O1561" s="32"/>
      <c r="P1561" s="32"/>
      <c r="Q1561" s="32"/>
      <c r="R1561" s="32"/>
      <c r="S1561" s="32"/>
      <c r="T1561" s="32"/>
      <c r="U1561" s="32"/>
      <c r="V1561" s="32"/>
      <c r="W1561" s="32"/>
      <c r="X1561" s="32"/>
      <c r="Y1561" s="32"/>
      <c r="Z1561" s="32"/>
      <c r="AA1561" s="32"/>
    </row>
    <row r="1562" spans="1:27" ht="15.75" customHeight="1">
      <c r="A1562" s="32">
        <v>6415</v>
      </c>
      <c r="B1562" s="1"/>
      <c r="C1562" s="32" t="s">
        <v>3430</v>
      </c>
      <c r="D1562" s="75"/>
      <c r="E1562" s="32"/>
      <c r="F1562" s="32"/>
      <c r="G1562" s="32"/>
      <c r="H1562" s="32"/>
      <c r="I1562" s="32"/>
      <c r="J1562" s="32"/>
      <c r="K1562" s="32"/>
      <c r="L1562" s="32"/>
      <c r="M1562" s="32"/>
      <c r="N1562" s="32"/>
      <c r="O1562" s="32"/>
      <c r="P1562" s="32"/>
      <c r="Q1562" s="32"/>
      <c r="R1562" s="32"/>
      <c r="S1562" s="32"/>
      <c r="T1562" s="32"/>
      <c r="U1562" s="32"/>
      <c r="V1562" s="32"/>
      <c r="W1562" s="32"/>
      <c r="X1562" s="32"/>
      <c r="Y1562" s="32"/>
      <c r="Z1562" s="32"/>
      <c r="AA1562" s="32"/>
    </row>
    <row r="1563" spans="1:27" ht="15.75" customHeight="1">
      <c r="A1563" s="32">
        <v>6416</v>
      </c>
      <c r="B1563" s="1"/>
      <c r="C1563" s="32" t="s">
        <v>3431</v>
      </c>
      <c r="D1563" s="75"/>
      <c r="E1563" s="32"/>
      <c r="F1563" s="32"/>
      <c r="G1563" s="32"/>
      <c r="H1563" s="32"/>
      <c r="I1563" s="32"/>
      <c r="J1563" s="32"/>
      <c r="K1563" s="32"/>
      <c r="L1563" s="32"/>
      <c r="M1563" s="32"/>
      <c r="N1563" s="32"/>
      <c r="O1563" s="32"/>
      <c r="P1563" s="32"/>
      <c r="Q1563" s="32"/>
      <c r="R1563" s="32"/>
      <c r="S1563" s="32"/>
      <c r="T1563" s="32"/>
      <c r="U1563" s="32"/>
      <c r="V1563" s="32"/>
      <c r="W1563" s="32"/>
      <c r="X1563" s="32"/>
      <c r="Y1563" s="32"/>
      <c r="Z1563" s="32"/>
      <c r="AA1563" s="32"/>
    </row>
    <row r="1564" spans="1:27" ht="15.75" customHeight="1">
      <c r="A1564" s="32">
        <v>6417</v>
      </c>
      <c r="B1564" s="1"/>
      <c r="C1564" s="32" t="s">
        <v>3432</v>
      </c>
      <c r="D1564" s="75"/>
      <c r="E1564" s="32"/>
      <c r="F1564" s="32"/>
      <c r="G1564" s="32"/>
      <c r="H1564" s="32"/>
      <c r="I1564" s="32"/>
      <c r="J1564" s="32"/>
      <c r="K1564" s="32"/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  <c r="AA1564" s="32"/>
    </row>
    <row r="1565" spans="1:27" ht="15.75" customHeight="1">
      <c r="A1565" s="32">
        <v>6418</v>
      </c>
      <c r="B1565" s="1"/>
      <c r="C1565" s="32" t="s">
        <v>3433</v>
      </c>
      <c r="D1565" s="75"/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/>
      <c r="Q1565" s="32"/>
      <c r="R1565" s="32"/>
      <c r="S1565" s="32"/>
      <c r="T1565" s="32"/>
      <c r="U1565" s="32"/>
      <c r="V1565" s="32"/>
      <c r="W1565" s="32"/>
      <c r="X1565" s="32"/>
      <c r="Y1565" s="32"/>
      <c r="Z1565" s="32"/>
      <c r="AA1565" s="32"/>
    </row>
    <row r="1566" spans="1:27" ht="15.75" customHeight="1">
      <c r="A1566" s="32">
        <v>6419</v>
      </c>
      <c r="B1566" s="1"/>
      <c r="C1566" s="32"/>
      <c r="D1566" s="75"/>
      <c r="E1566" s="32"/>
      <c r="F1566" s="32"/>
      <c r="G1566" s="32"/>
      <c r="H1566" s="32"/>
      <c r="I1566" s="32"/>
      <c r="J1566" s="32"/>
      <c r="K1566" s="32"/>
      <c r="L1566" s="32"/>
      <c r="M1566" s="32"/>
      <c r="N1566" s="32"/>
      <c r="O1566" s="32"/>
      <c r="P1566" s="32"/>
      <c r="Q1566" s="32"/>
      <c r="R1566" s="32"/>
      <c r="S1566" s="32"/>
      <c r="T1566" s="32"/>
      <c r="U1566" s="32"/>
      <c r="V1566" s="32"/>
      <c r="W1566" s="32"/>
      <c r="X1566" s="32"/>
      <c r="Y1566" s="32"/>
      <c r="Z1566" s="32"/>
      <c r="AA1566" s="32"/>
    </row>
    <row r="1567" spans="1:27" ht="15.75" customHeight="1">
      <c r="A1567" s="76">
        <v>6420</v>
      </c>
      <c r="B1567" s="1"/>
      <c r="C1567" s="32" t="s">
        <v>3434</v>
      </c>
      <c r="D1567" s="75"/>
      <c r="E1567" s="32"/>
      <c r="F1567" s="32"/>
      <c r="G1567" s="32"/>
      <c r="H1567" s="32"/>
      <c r="I1567" s="32"/>
      <c r="J1567" s="32"/>
      <c r="K1567" s="32"/>
      <c r="L1567" s="32"/>
      <c r="M1567" s="32"/>
      <c r="N1567" s="32"/>
      <c r="O1567" s="32"/>
      <c r="P1567" s="32"/>
      <c r="Q1567" s="32"/>
      <c r="R1567" s="32"/>
      <c r="S1567" s="32"/>
      <c r="T1567" s="32"/>
      <c r="U1567" s="32"/>
      <c r="V1567" s="32"/>
      <c r="W1567" s="32"/>
      <c r="X1567" s="32"/>
      <c r="Y1567" s="32"/>
      <c r="Z1567" s="32"/>
      <c r="AA1567" s="32"/>
    </row>
    <row r="1568" spans="1:27" ht="15.75" customHeight="1">
      <c r="A1568" s="76">
        <v>6421</v>
      </c>
      <c r="B1568" s="1"/>
      <c r="C1568" s="32" t="s">
        <v>3435</v>
      </c>
      <c r="D1568" s="75"/>
      <c r="E1568" s="32"/>
      <c r="F1568" s="32"/>
      <c r="G1568" s="32"/>
      <c r="H1568" s="32"/>
      <c r="I1568" s="32"/>
      <c r="J1568" s="32"/>
      <c r="K1568" s="32"/>
      <c r="L1568" s="32"/>
      <c r="M1568" s="32"/>
      <c r="N1568" s="32"/>
      <c r="O1568" s="32"/>
      <c r="P1568" s="32"/>
      <c r="Q1568" s="32"/>
      <c r="R1568" s="32"/>
      <c r="S1568" s="32"/>
      <c r="T1568" s="32"/>
      <c r="U1568" s="32"/>
      <c r="V1568" s="32"/>
      <c r="W1568" s="32"/>
      <c r="X1568" s="32"/>
      <c r="Y1568" s="32"/>
      <c r="Z1568" s="32"/>
      <c r="AA1568" s="32"/>
    </row>
    <row r="1569" spans="1:27" ht="15.75" customHeight="1">
      <c r="A1569" s="76">
        <v>6422</v>
      </c>
      <c r="B1569" s="1"/>
      <c r="C1569" s="32"/>
      <c r="D1569" s="75"/>
      <c r="E1569" s="32"/>
      <c r="F1569" s="32"/>
      <c r="G1569" s="32"/>
      <c r="H1569" s="32"/>
      <c r="I1569" s="32"/>
      <c r="J1569" s="32"/>
      <c r="K1569" s="32"/>
      <c r="L1569" s="32"/>
      <c r="M1569" s="32"/>
      <c r="N1569" s="32"/>
      <c r="O1569" s="32"/>
      <c r="P1569" s="32"/>
      <c r="Q1569" s="32"/>
      <c r="R1569" s="32"/>
      <c r="S1569" s="32"/>
      <c r="T1569" s="32"/>
      <c r="U1569" s="32"/>
      <c r="V1569" s="32"/>
      <c r="W1569" s="32"/>
      <c r="X1569" s="32"/>
      <c r="Y1569" s="32"/>
      <c r="Z1569" s="32"/>
      <c r="AA1569" s="32"/>
    </row>
    <row r="1570" spans="1:27" ht="15.75" customHeight="1">
      <c r="A1570" s="76">
        <v>6423</v>
      </c>
      <c r="B1570" s="1"/>
      <c r="C1570" s="32"/>
      <c r="D1570" s="75"/>
      <c r="E1570" s="32"/>
      <c r="F1570" s="32"/>
      <c r="G1570" s="32"/>
      <c r="H1570" s="32"/>
      <c r="I1570" s="32"/>
      <c r="J1570" s="32"/>
      <c r="K1570" s="32"/>
      <c r="L1570" s="32"/>
      <c r="M1570" s="32"/>
      <c r="N1570" s="32"/>
      <c r="O1570" s="32"/>
      <c r="P1570" s="32"/>
      <c r="Q1570" s="32"/>
      <c r="R1570" s="32"/>
      <c r="S1570" s="32"/>
      <c r="T1570" s="32"/>
      <c r="U1570" s="32"/>
      <c r="V1570" s="32"/>
      <c r="W1570" s="32"/>
      <c r="X1570" s="32"/>
      <c r="Y1570" s="32"/>
      <c r="Z1570" s="32"/>
      <c r="AA1570" s="32"/>
    </row>
    <row r="1571" spans="1:27" ht="15.75" customHeight="1">
      <c r="A1571" s="76">
        <v>6424</v>
      </c>
      <c r="B1571" s="1"/>
      <c r="C1571" s="32"/>
      <c r="D1571" s="75"/>
      <c r="E1571" s="32"/>
      <c r="F1571" s="32"/>
      <c r="G1571" s="32"/>
      <c r="H1571" s="32"/>
      <c r="I1571" s="32"/>
      <c r="J1571" s="32"/>
      <c r="K1571" s="32"/>
      <c r="L1571" s="32"/>
      <c r="M1571" s="32"/>
      <c r="N1571" s="32"/>
      <c r="O1571" s="32"/>
      <c r="P1571" s="32"/>
      <c r="Q1571" s="32"/>
      <c r="R1571" s="32"/>
      <c r="S1571" s="32"/>
      <c r="T1571" s="32"/>
      <c r="U1571" s="32"/>
      <c r="V1571" s="32"/>
      <c r="W1571" s="32"/>
      <c r="X1571" s="32"/>
      <c r="Y1571" s="32"/>
      <c r="Z1571" s="32"/>
      <c r="AA1571" s="32"/>
    </row>
    <row r="1572" spans="1:27" ht="15.75" customHeight="1">
      <c r="A1572" s="76">
        <v>6425</v>
      </c>
      <c r="B1572" s="1"/>
      <c r="C1572" s="32"/>
      <c r="D1572" s="75"/>
      <c r="E1572" s="32"/>
      <c r="F1572" s="32"/>
      <c r="G1572" s="32"/>
      <c r="H1572" s="32"/>
      <c r="I1572" s="32"/>
      <c r="J1572" s="32"/>
      <c r="K1572" s="32"/>
      <c r="L1572" s="32"/>
      <c r="M1572" s="32"/>
      <c r="N1572" s="32"/>
      <c r="O1572" s="32"/>
      <c r="P1572" s="32"/>
      <c r="Q1572" s="32"/>
      <c r="R1572" s="32"/>
      <c r="S1572" s="32"/>
      <c r="T1572" s="32"/>
      <c r="U1572" s="32"/>
      <c r="V1572" s="32"/>
      <c r="W1572" s="32"/>
      <c r="X1572" s="32"/>
      <c r="Y1572" s="32"/>
      <c r="Z1572" s="32"/>
      <c r="AA1572" s="32"/>
    </row>
    <row r="1573" spans="1:27" ht="15.75" customHeight="1">
      <c r="A1573" s="76">
        <v>6426</v>
      </c>
      <c r="B1573" s="1"/>
      <c r="C1573" s="32"/>
      <c r="D1573" s="75"/>
      <c r="E1573" s="32"/>
      <c r="F1573" s="32"/>
      <c r="G1573" s="32"/>
      <c r="H1573" s="32"/>
      <c r="I1573" s="32"/>
      <c r="J1573" s="32"/>
      <c r="K1573" s="32"/>
      <c r="L1573" s="32"/>
      <c r="M1573" s="32"/>
      <c r="N1573" s="32"/>
      <c r="O1573" s="32"/>
      <c r="P1573" s="32"/>
      <c r="Q1573" s="32"/>
      <c r="R1573" s="32"/>
      <c r="S1573" s="32"/>
      <c r="T1573" s="32"/>
      <c r="U1573" s="32"/>
      <c r="V1573" s="32"/>
      <c r="W1573" s="32"/>
      <c r="X1573" s="32"/>
      <c r="Y1573" s="32"/>
      <c r="Z1573" s="32"/>
      <c r="AA1573" s="32"/>
    </row>
    <row r="1574" spans="1:27" ht="15.75" customHeight="1">
      <c r="A1574" s="76">
        <v>6427</v>
      </c>
      <c r="B1574" s="1"/>
      <c r="C1574" s="32"/>
      <c r="D1574" s="75"/>
      <c r="E1574" s="32"/>
      <c r="F1574" s="32"/>
      <c r="G1574" s="32"/>
      <c r="H1574" s="32"/>
      <c r="I1574" s="32"/>
      <c r="J1574" s="32"/>
      <c r="K1574" s="32"/>
      <c r="L1574" s="32"/>
      <c r="M1574" s="32"/>
      <c r="N1574" s="32"/>
      <c r="O1574" s="32"/>
      <c r="P1574" s="32"/>
      <c r="Q1574" s="32"/>
      <c r="R1574" s="32"/>
      <c r="S1574" s="32"/>
      <c r="T1574" s="32"/>
      <c r="U1574" s="32"/>
      <c r="V1574" s="32"/>
      <c r="W1574" s="32"/>
      <c r="X1574" s="32"/>
      <c r="Y1574" s="32"/>
      <c r="Z1574" s="32"/>
      <c r="AA1574" s="32"/>
    </row>
    <row r="1575" spans="1:27" ht="15.75" customHeight="1">
      <c r="A1575" s="76">
        <v>6428</v>
      </c>
      <c r="B1575" s="1"/>
      <c r="C1575" s="32"/>
      <c r="D1575" s="75"/>
      <c r="E1575" s="32"/>
      <c r="F1575" s="32"/>
      <c r="G1575" s="32"/>
      <c r="H1575" s="32"/>
      <c r="I1575" s="32"/>
      <c r="J1575" s="32"/>
      <c r="K1575" s="32"/>
      <c r="L1575" s="32"/>
      <c r="M1575" s="32"/>
      <c r="N1575" s="32"/>
      <c r="O1575" s="32"/>
      <c r="P1575" s="32"/>
      <c r="Q1575" s="32"/>
      <c r="R1575" s="32"/>
      <c r="S1575" s="32"/>
      <c r="T1575" s="32"/>
      <c r="U1575" s="32"/>
      <c r="V1575" s="32"/>
      <c r="W1575" s="32"/>
      <c r="X1575" s="32"/>
      <c r="Y1575" s="32"/>
      <c r="Z1575" s="32"/>
      <c r="AA1575" s="32"/>
    </row>
    <row r="1576" spans="1:27" ht="15.75" customHeight="1">
      <c r="A1576" s="76">
        <v>6429</v>
      </c>
      <c r="B1576" s="1"/>
      <c r="C1576" s="32"/>
      <c r="D1576" s="75"/>
      <c r="E1576" s="32"/>
      <c r="F1576" s="32"/>
      <c r="G1576" s="32"/>
      <c r="H1576" s="32"/>
      <c r="I1576" s="32"/>
      <c r="J1576" s="32"/>
      <c r="K1576" s="32"/>
      <c r="L1576" s="32"/>
      <c r="M1576" s="32"/>
      <c r="N1576" s="32"/>
      <c r="O1576" s="32"/>
      <c r="P1576" s="32"/>
      <c r="Q1576" s="32"/>
      <c r="R1576" s="32"/>
      <c r="S1576" s="32"/>
      <c r="T1576" s="32"/>
      <c r="U1576" s="32"/>
      <c r="V1576" s="32"/>
      <c r="W1576" s="32"/>
      <c r="X1576" s="32"/>
      <c r="Y1576" s="32"/>
      <c r="Z1576" s="32"/>
      <c r="AA1576" s="32"/>
    </row>
    <row r="1577" spans="1:27" ht="15.75" customHeight="1">
      <c r="A1577" s="32"/>
      <c r="B1577" s="32"/>
      <c r="C1577" s="32"/>
      <c r="D1577" s="75"/>
      <c r="E1577" s="32"/>
      <c r="F1577" s="32"/>
      <c r="G1577" s="32"/>
      <c r="H1577" s="32"/>
      <c r="I1577" s="32"/>
      <c r="J1577" s="32"/>
      <c r="K1577" s="32"/>
      <c r="L1577" s="32"/>
      <c r="M1577" s="32"/>
      <c r="N1577" s="32"/>
      <c r="O1577" s="32"/>
      <c r="P1577" s="32"/>
      <c r="Q1577" s="32"/>
      <c r="R1577" s="32"/>
      <c r="S1577" s="32"/>
      <c r="T1577" s="32"/>
      <c r="U1577" s="32"/>
      <c r="V1577" s="32"/>
      <c r="W1577" s="32"/>
      <c r="X1577" s="32"/>
      <c r="Y1577" s="32"/>
      <c r="Z1577" s="32"/>
      <c r="AA1577" s="32"/>
    </row>
    <row r="1578" spans="1:27" ht="15.75" customHeight="1">
      <c r="A1578" s="32" t="s">
        <v>3436</v>
      </c>
      <c r="B1578" s="32"/>
      <c r="C1578" s="32" t="s">
        <v>3437</v>
      </c>
      <c r="D1578" s="75"/>
      <c r="E1578" s="32"/>
      <c r="F1578" s="32"/>
      <c r="G1578" s="32"/>
      <c r="H1578" s="32"/>
      <c r="I1578" s="32"/>
      <c r="J1578" s="32"/>
      <c r="K1578" s="32"/>
      <c r="L1578" s="32"/>
      <c r="M1578" s="32"/>
      <c r="N1578" s="32"/>
      <c r="O1578" s="32"/>
      <c r="P1578" s="32"/>
      <c r="Q1578" s="32"/>
      <c r="R1578" s="32"/>
      <c r="S1578" s="32"/>
      <c r="T1578" s="32"/>
      <c r="U1578" s="32"/>
      <c r="V1578" s="32"/>
      <c r="W1578" s="32"/>
      <c r="X1578" s="32"/>
      <c r="Y1578" s="32"/>
      <c r="Z1578" s="32"/>
      <c r="AA1578" s="32"/>
    </row>
    <row r="1579" spans="1:27" ht="15.75" customHeight="1">
      <c r="A1579" s="83" t="s">
        <v>3438</v>
      </c>
      <c r="B1579" s="81"/>
      <c r="C1579" s="81"/>
      <c r="D1579" s="81"/>
      <c r="E1579" s="82"/>
      <c r="F1579" s="32"/>
      <c r="G1579" s="32"/>
      <c r="H1579" s="32"/>
      <c r="I1579" s="32"/>
      <c r="J1579" s="32"/>
      <c r="K1579" s="32"/>
      <c r="L1579" s="32"/>
      <c r="M1579" s="32"/>
      <c r="N1579" s="32"/>
      <c r="O1579" s="32"/>
      <c r="P1579" s="32"/>
      <c r="Q1579" s="32"/>
      <c r="R1579" s="32"/>
      <c r="S1579" s="32"/>
      <c r="T1579" s="32"/>
      <c r="U1579" s="32"/>
      <c r="V1579" s="32"/>
      <c r="W1579" s="32"/>
      <c r="X1579" s="32"/>
      <c r="Y1579" s="32"/>
      <c r="Z1579" s="32"/>
      <c r="AA1579" s="32"/>
    </row>
    <row r="1580" spans="1:27" ht="15.75" customHeight="1">
      <c r="A1580" s="32">
        <v>7500</v>
      </c>
      <c r="B1580" s="1" t="s">
        <v>3439</v>
      </c>
      <c r="C1580" s="32" t="s">
        <v>3440</v>
      </c>
      <c r="D1580" s="75"/>
      <c r="E1580" s="32"/>
      <c r="F1580" s="32"/>
      <c r="G1580" s="32"/>
      <c r="H1580" s="32"/>
      <c r="I1580" s="32"/>
      <c r="J1580" s="32"/>
      <c r="K1580" s="32"/>
      <c r="L1580" s="32"/>
      <c r="M1580" s="32"/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  <c r="Y1580" s="32"/>
      <c r="Z1580" s="32"/>
      <c r="AA1580" s="32"/>
    </row>
    <row r="1581" spans="1:27" ht="15.75" customHeight="1">
      <c r="A1581" s="32">
        <v>7501</v>
      </c>
      <c r="B1581" s="1" t="s">
        <v>3441</v>
      </c>
      <c r="C1581" s="32" t="s">
        <v>3442</v>
      </c>
      <c r="D1581" s="75"/>
      <c r="E1581" s="32"/>
      <c r="F1581" s="32"/>
      <c r="G1581" s="32"/>
      <c r="H1581" s="32"/>
      <c r="I1581" s="32"/>
      <c r="J1581" s="32"/>
      <c r="K1581" s="32"/>
      <c r="L1581" s="32"/>
      <c r="M1581" s="32"/>
      <c r="N1581" s="32"/>
      <c r="O1581" s="32"/>
      <c r="P1581" s="32"/>
      <c r="Q1581" s="32"/>
      <c r="R1581" s="32"/>
      <c r="S1581" s="32"/>
      <c r="T1581" s="32"/>
      <c r="U1581" s="32"/>
      <c r="V1581" s="32"/>
      <c r="W1581" s="32"/>
      <c r="X1581" s="32"/>
      <c r="Y1581" s="32"/>
      <c r="Z1581" s="32"/>
      <c r="AA1581" s="32"/>
    </row>
    <row r="1582" spans="1:27" ht="15.75" customHeight="1">
      <c r="A1582" s="32">
        <v>7502</v>
      </c>
      <c r="B1582" s="1" t="s">
        <v>3443</v>
      </c>
      <c r="C1582" s="32" t="s">
        <v>3444</v>
      </c>
      <c r="D1582" s="75"/>
      <c r="E1582" s="32"/>
      <c r="F1582" s="32"/>
      <c r="G1582" s="32"/>
      <c r="H1582" s="32"/>
      <c r="I1582" s="32"/>
      <c r="J1582" s="32"/>
      <c r="K1582" s="32"/>
      <c r="L1582" s="32"/>
      <c r="M1582" s="32"/>
      <c r="N1582" s="32"/>
      <c r="O1582" s="32"/>
      <c r="P1582" s="32"/>
      <c r="Q1582" s="32"/>
      <c r="R1582" s="32"/>
      <c r="S1582" s="32"/>
      <c r="T1582" s="32"/>
      <c r="U1582" s="32"/>
      <c r="V1582" s="32"/>
      <c r="W1582" s="32"/>
      <c r="X1582" s="32"/>
      <c r="Y1582" s="32"/>
      <c r="Z1582" s="32"/>
      <c r="AA1582" s="32"/>
    </row>
    <row r="1583" spans="1:27" ht="15.75" customHeight="1">
      <c r="A1583" s="32">
        <v>7503</v>
      </c>
      <c r="B1583" s="67" t="s">
        <v>3445</v>
      </c>
      <c r="C1583" s="32" t="s">
        <v>3446</v>
      </c>
      <c r="D1583" s="75"/>
      <c r="E1583" s="32"/>
      <c r="F1583" s="32"/>
      <c r="G1583" s="32"/>
      <c r="H1583" s="32"/>
      <c r="I1583" s="32"/>
      <c r="J1583" s="32"/>
      <c r="K1583" s="32"/>
      <c r="L1583" s="32"/>
      <c r="M1583" s="32"/>
      <c r="N1583" s="32"/>
      <c r="O1583" s="32"/>
      <c r="P1583" s="32"/>
      <c r="Q1583" s="32"/>
      <c r="R1583" s="32"/>
      <c r="S1583" s="32"/>
      <c r="T1583" s="32"/>
      <c r="U1583" s="32"/>
      <c r="V1583" s="32"/>
      <c r="W1583" s="32"/>
      <c r="X1583" s="32"/>
      <c r="Y1583" s="32"/>
      <c r="Z1583" s="32"/>
      <c r="AA1583" s="32"/>
    </row>
    <row r="1584" spans="1:27" ht="15.75" customHeight="1">
      <c r="A1584" s="32">
        <v>7504</v>
      </c>
      <c r="B1584" s="32"/>
      <c r="C1584" s="32"/>
      <c r="D1584" s="75"/>
      <c r="E1584" s="32"/>
      <c r="F1584" s="32"/>
      <c r="G1584" s="32"/>
      <c r="H1584" s="32"/>
      <c r="I1584" s="32"/>
      <c r="J1584" s="32"/>
      <c r="K1584" s="32"/>
      <c r="L1584" s="32"/>
      <c r="M1584" s="32"/>
      <c r="N1584" s="32"/>
      <c r="O1584" s="32"/>
      <c r="P1584" s="32"/>
      <c r="Q1584" s="32"/>
      <c r="R1584" s="32"/>
      <c r="S1584" s="32"/>
      <c r="T1584" s="32"/>
      <c r="U1584" s="32"/>
      <c r="V1584" s="32"/>
      <c r="W1584" s="32"/>
      <c r="X1584" s="32"/>
      <c r="Y1584" s="32"/>
      <c r="Z1584" s="32"/>
      <c r="AA1584" s="32"/>
    </row>
    <row r="1585" spans="1:27" ht="15.75" customHeight="1">
      <c r="A1585" s="32">
        <v>7505</v>
      </c>
      <c r="B1585" s="32"/>
      <c r="C1585" s="32"/>
      <c r="D1585" s="75"/>
      <c r="E1585" s="32"/>
      <c r="F1585" s="32"/>
      <c r="G1585" s="32"/>
      <c r="H1585" s="32"/>
      <c r="I1585" s="32"/>
      <c r="J1585" s="32"/>
      <c r="K1585" s="32"/>
      <c r="L1585" s="32"/>
      <c r="M1585" s="32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  <c r="AA1585" s="32"/>
    </row>
    <row r="1586" spans="1:27" ht="15.75" customHeight="1">
      <c r="A1586" s="32">
        <v>7506</v>
      </c>
      <c r="B1586" s="32"/>
      <c r="C1586" s="32"/>
      <c r="D1586" s="75"/>
      <c r="E1586" s="32"/>
      <c r="F1586" s="32"/>
      <c r="G1586" s="32"/>
      <c r="H1586" s="32"/>
      <c r="I1586" s="32"/>
      <c r="J1586" s="32"/>
      <c r="K1586" s="32"/>
      <c r="L1586" s="32"/>
      <c r="M1586" s="32"/>
      <c r="N1586" s="32"/>
      <c r="O1586" s="32"/>
      <c r="P1586" s="32"/>
      <c r="Q1586" s="32"/>
      <c r="R1586" s="32"/>
      <c r="S1586" s="32"/>
      <c r="T1586" s="32"/>
      <c r="U1586" s="32"/>
      <c r="V1586" s="32"/>
      <c r="W1586" s="32"/>
      <c r="X1586" s="32"/>
      <c r="Y1586" s="32"/>
      <c r="Z1586" s="32"/>
      <c r="AA1586" s="32"/>
    </row>
    <row r="1587" spans="1:27" ht="15.75" customHeight="1">
      <c r="A1587" s="32">
        <v>7507</v>
      </c>
      <c r="B1587" s="32"/>
      <c r="C1587" s="32"/>
      <c r="D1587" s="75"/>
      <c r="E1587" s="32"/>
      <c r="F1587" s="32"/>
      <c r="G1587" s="32"/>
      <c r="H1587" s="32"/>
      <c r="I1587" s="32"/>
      <c r="J1587" s="32"/>
      <c r="K1587" s="32"/>
      <c r="L1587" s="32"/>
      <c r="M1587" s="32"/>
      <c r="N1587" s="32"/>
      <c r="O1587" s="32"/>
      <c r="P1587" s="32"/>
      <c r="Q1587" s="32"/>
      <c r="R1587" s="32"/>
      <c r="S1587" s="32"/>
      <c r="T1587" s="32"/>
      <c r="U1587" s="32"/>
      <c r="V1587" s="32"/>
      <c r="W1587" s="32"/>
      <c r="X1587" s="32"/>
      <c r="Y1587" s="32"/>
      <c r="Z1587" s="32"/>
      <c r="AA1587" s="32"/>
    </row>
    <row r="1588" spans="1:27" ht="15.75" customHeight="1">
      <c r="A1588" s="32">
        <v>7508</v>
      </c>
      <c r="B1588" s="32"/>
      <c r="C1588" s="32"/>
      <c r="D1588" s="75"/>
      <c r="E1588" s="32"/>
      <c r="F1588" s="32"/>
      <c r="G1588" s="32"/>
      <c r="H1588" s="32"/>
      <c r="I1588" s="32"/>
      <c r="J1588" s="32"/>
      <c r="K1588" s="32"/>
      <c r="L1588" s="32"/>
      <c r="M1588" s="32"/>
      <c r="N1588" s="32"/>
      <c r="O1588" s="32"/>
      <c r="P1588" s="32"/>
      <c r="Q1588" s="32"/>
      <c r="R1588" s="32"/>
      <c r="S1588" s="32"/>
      <c r="T1588" s="32"/>
      <c r="U1588" s="32"/>
      <c r="V1588" s="32"/>
      <c r="W1588" s="32"/>
      <c r="X1588" s="32"/>
      <c r="Y1588" s="32"/>
      <c r="Z1588" s="32"/>
      <c r="AA1588" s="32"/>
    </row>
    <row r="1589" spans="1:27" ht="15.75" customHeight="1">
      <c r="A1589" s="32">
        <v>7509</v>
      </c>
      <c r="B1589" s="32"/>
      <c r="C1589" s="32"/>
      <c r="D1589" s="75"/>
      <c r="E1589" s="32"/>
      <c r="F1589" s="32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  <c r="Y1589" s="32"/>
      <c r="Z1589" s="32"/>
      <c r="AA1589" s="32"/>
    </row>
    <row r="1590" spans="1:27" ht="15.75" customHeight="1">
      <c r="A1590" s="32">
        <v>7510</v>
      </c>
      <c r="B1590" s="1" t="s">
        <v>3447</v>
      </c>
      <c r="C1590" s="32" t="s">
        <v>3440</v>
      </c>
      <c r="D1590" s="75"/>
      <c r="E1590" s="32"/>
      <c r="F1590" s="32"/>
      <c r="G1590" s="32"/>
      <c r="H1590" s="32"/>
      <c r="I1590" s="32"/>
      <c r="J1590" s="32"/>
      <c r="K1590" s="32"/>
      <c r="L1590" s="32"/>
      <c r="M1590" s="32"/>
      <c r="N1590" s="32"/>
      <c r="O1590" s="32"/>
      <c r="P1590" s="32"/>
      <c r="Q1590" s="32"/>
      <c r="R1590" s="32"/>
      <c r="S1590" s="32"/>
      <c r="T1590" s="32"/>
      <c r="U1590" s="32"/>
      <c r="V1590" s="32"/>
      <c r="W1590" s="32"/>
      <c r="X1590" s="32"/>
      <c r="Y1590" s="32"/>
      <c r="Z1590" s="32"/>
      <c r="AA1590" s="32"/>
    </row>
    <row r="1591" spans="1:27" ht="15.75" customHeight="1">
      <c r="A1591" s="32">
        <v>7511</v>
      </c>
      <c r="B1591" s="1" t="s">
        <v>3448</v>
      </c>
      <c r="C1591" s="32" t="s">
        <v>3442</v>
      </c>
      <c r="D1591" s="75"/>
      <c r="E1591" s="32"/>
      <c r="F1591" s="32"/>
      <c r="G1591" s="32"/>
      <c r="H1591" s="32"/>
      <c r="I1591" s="32"/>
      <c r="J1591" s="32"/>
      <c r="K1591" s="32"/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  <c r="AA1591" s="32"/>
    </row>
    <row r="1592" spans="1:27" ht="15.75" customHeight="1">
      <c r="A1592" s="32">
        <v>7512</v>
      </c>
      <c r="B1592" s="1" t="s">
        <v>3449</v>
      </c>
      <c r="C1592" s="32" t="s">
        <v>3444</v>
      </c>
      <c r="D1592" s="75"/>
      <c r="E1592" s="32"/>
      <c r="F1592" s="32"/>
      <c r="G1592" s="32"/>
      <c r="H1592" s="32"/>
      <c r="I1592" s="32"/>
      <c r="J1592" s="32"/>
      <c r="K1592" s="32"/>
      <c r="L1592" s="32"/>
      <c r="M1592" s="32"/>
      <c r="N1592" s="32"/>
      <c r="O1592" s="32"/>
      <c r="P1592" s="32"/>
      <c r="Q1592" s="32"/>
      <c r="R1592" s="32"/>
      <c r="S1592" s="32"/>
      <c r="T1592" s="32"/>
      <c r="U1592" s="32"/>
      <c r="V1592" s="32"/>
      <c r="W1592" s="32"/>
      <c r="X1592" s="32"/>
      <c r="Y1592" s="32"/>
      <c r="Z1592" s="32"/>
      <c r="AA1592" s="32"/>
    </row>
    <row r="1593" spans="1:27" ht="15.75" customHeight="1">
      <c r="A1593" s="32">
        <v>7513</v>
      </c>
      <c r="B1593" s="67" t="s">
        <v>3450</v>
      </c>
      <c r="C1593" s="32" t="s">
        <v>3446</v>
      </c>
      <c r="D1593" s="75"/>
      <c r="E1593" s="32"/>
      <c r="F1593" s="32"/>
      <c r="G1593" s="32"/>
      <c r="H1593" s="32"/>
      <c r="I1593" s="32"/>
      <c r="J1593" s="32"/>
      <c r="K1593" s="32"/>
      <c r="L1593" s="32"/>
      <c r="M1593" s="32"/>
      <c r="N1593" s="32"/>
      <c r="O1593" s="32"/>
      <c r="P1593" s="32"/>
      <c r="Q1593" s="32"/>
      <c r="R1593" s="32"/>
      <c r="S1593" s="32"/>
      <c r="T1593" s="32"/>
      <c r="U1593" s="32"/>
      <c r="V1593" s="32"/>
      <c r="W1593" s="32"/>
      <c r="X1593" s="32"/>
      <c r="Y1593" s="32"/>
      <c r="Z1593" s="32"/>
      <c r="AA1593" s="32"/>
    </row>
    <row r="1594" spans="1:27" ht="15.75" customHeight="1">
      <c r="A1594" s="32">
        <v>7514</v>
      </c>
      <c r="B1594" s="32"/>
      <c r="C1594" s="32"/>
      <c r="D1594" s="75"/>
      <c r="E1594" s="32"/>
      <c r="F1594" s="32"/>
      <c r="G1594" s="32"/>
      <c r="H1594" s="32"/>
      <c r="I1594" s="32"/>
      <c r="J1594" s="32"/>
      <c r="K1594" s="32"/>
      <c r="L1594" s="32"/>
      <c r="M1594" s="32"/>
      <c r="N1594" s="32"/>
      <c r="O1594" s="32"/>
      <c r="P1594" s="32"/>
      <c r="Q1594" s="32"/>
      <c r="R1594" s="32"/>
      <c r="S1594" s="32"/>
      <c r="T1594" s="32"/>
      <c r="U1594" s="32"/>
      <c r="V1594" s="32"/>
      <c r="W1594" s="32"/>
      <c r="X1594" s="32"/>
      <c r="Y1594" s="32"/>
      <c r="Z1594" s="32"/>
      <c r="AA1594" s="32"/>
    </row>
    <row r="1595" spans="1:27" ht="15.75" customHeight="1">
      <c r="A1595" s="32">
        <v>7515</v>
      </c>
      <c r="B1595" s="32"/>
      <c r="C1595" s="32"/>
      <c r="D1595" s="75"/>
      <c r="E1595" s="32"/>
      <c r="F1595" s="32"/>
      <c r="G1595" s="32"/>
      <c r="H1595" s="32"/>
      <c r="I1595" s="32"/>
      <c r="J1595" s="32"/>
      <c r="K1595" s="32"/>
      <c r="L1595" s="32"/>
      <c r="M1595" s="32"/>
      <c r="N1595" s="32"/>
      <c r="O1595" s="32"/>
      <c r="P1595" s="32"/>
      <c r="Q1595" s="32"/>
      <c r="R1595" s="32"/>
      <c r="S1595" s="32"/>
      <c r="T1595" s="32"/>
      <c r="U1595" s="32"/>
      <c r="V1595" s="32"/>
      <c r="W1595" s="32"/>
      <c r="X1595" s="32"/>
      <c r="Y1595" s="32"/>
      <c r="Z1595" s="32"/>
      <c r="AA1595" s="32"/>
    </row>
    <row r="1596" spans="1:27" ht="15.75" customHeight="1">
      <c r="A1596" s="32">
        <v>7516</v>
      </c>
      <c r="B1596" s="32"/>
      <c r="C1596" s="32"/>
      <c r="D1596" s="75"/>
      <c r="E1596" s="32"/>
      <c r="F1596" s="32"/>
      <c r="G1596" s="32"/>
      <c r="H1596" s="32"/>
      <c r="I1596" s="32"/>
      <c r="J1596" s="32"/>
      <c r="K1596" s="32"/>
      <c r="L1596" s="32"/>
      <c r="M1596" s="32"/>
      <c r="N1596" s="32"/>
      <c r="O1596" s="32"/>
      <c r="P1596" s="32"/>
      <c r="Q1596" s="32"/>
      <c r="R1596" s="32"/>
      <c r="S1596" s="32"/>
      <c r="T1596" s="32"/>
      <c r="U1596" s="32"/>
      <c r="V1596" s="32"/>
      <c r="W1596" s="32"/>
      <c r="X1596" s="32"/>
      <c r="Y1596" s="32"/>
      <c r="Z1596" s="32"/>
      <c r="AA1596" s="32"/>
    </row>
    <row r="1597" spans="1:27" ht="15.75" customHeight="1">
      <c r="A1597" s="32">
        <v>7517</v>
      </c>
      <c r="B1597" s="32"/>
      <c r="C1597" s="32"/>
      <c r="D1597" s="75"/>
      <c r="E1597" s="32"/>
      <c r="F1597" s="32"/>
      <c r="G1597" s="32"/>
      <c r="H1597" s="32"/>
      <c r="I1597" s="32"/>
      <c r="J1597" s="32"/>
      <c r="K1597" s="32"/>
      <c r="L1597" s="32"/>
      <c r="M1597" s="32"/>
      <c r="N1597" s="32"/>
      <c r="O1597" s="32"/>
      <c r="P1597" s="32"/>
      <c r="Q1597" s="32"/>
      <c r="R1597" s="32"/>
      <c r="S1597" s="32"/>
      <c r="T1597" s="32"/>
      <c r="U1597" s="32"/>
      <c r="V1597" s="32"/>
      <c r="W1597" s="32"/>
      <c r="X1597" s="32"/>
      <c r="Y1597" s="32"/>
      <c r="Z1597" s="32"/>
      <c r="AA1597" s="32"/>
    </row>
    <row r="1598" spans="1:27" ht="15.75" customHeight="1">
      <c r="A1598" s="32">
        <v>7518</v>
      </c>
      <c r="B1598" s="32"/>
      <c r="C1598" s="32"/>
      <c r="D1598" s="75"/>
      <c r="E1598" s="32"/>
      <c r="F1598" s="32"/>
      <c r="G1598" s="32"/>
      <c r="H1598" s="32"/>
      <c r="I1598" s="32"/>
      <c r="J1598" s="32"/>
      <c r="K1598" s="32"/>
      <c r="L1598" s="32"/>
      <c r="M1598" s="32"/>
      <c r="N1598" s="32"/>
      <c r="O1598" s="32"/>
      <c r="P1598" s="32"/>
      <c r="Q1598" s="32"/>
      <c r="R1598" s="32"/>
      <c r="S1598" s="32"/>
      <c r="T1598" s="32"/>
      <c r="U1598" s="32"/>
      <c r="V1598" s="32"/>
      <c r="W1598" s="32"/>
      <c r="X1598" s="32"/>
      <c r="Y1598" s="32"/>
      <c r="Z1598" s="32"/>
      <c r="AA1598" s="32"/>
    </row>
    <row r="1599" spans="1:27" ht="15.75" customHeight="1">
      <c r="A1599" s="32">
        <v>7519</v>
      </c>
      <c r="B1599" s="32"/>
      <c r="C1599" s="32"/>
      <c r="D1599" s="75"/>
      <c r="E1599" s="32"/>
      <c r="F1599" s="32"/>
      <c r="G1599" s="32"/>
      <c r="H1599" s="32"/>
      <c r="I1599" s="32"/>
      <c r="J1599" s="32"/>
      <c r="K1599" s="32"/>
      <c r="L1599" s="32"/>
      <c r="M1599" s="32"/>
      <c r="N1599" s="32"/>
      <c r="O1599" s="32"/>
      <c r="P1599" s="32"/>
      <c r="Q1599" s="32"/>
      <c r="R1599" s="32"/>
      <c r="S1599" s="32"/>
      <c r="T1599" s="32"/>
      <c r="U1599" s="32"/>
      <c r="V1599" s="32"/>
      <c r="W1599" s="32"/>
      <c r="X1599" s="32"/>
      <c r="Y1599" s="32"/>
      <c r="Z1599" s="32"/>
      <c r="AA1599" s="32"/>
    </row>
    <row r="1600" spans="1:27" ht="15.75" customHeight="1">
      <c r="A1600" s="32">
        <v>7520</v>
      </c>
      <c r="B1600" s="1" t="s">
        <v>3451</v>
      </c>
      <c r="C1600" s="32" t="s">
        <v>3440</v>
      </c>
      <c r="D1600" s="75"/>
      <c r="E1600" s="32"/>
      <c r="F1600" s="32"/>
      <c r="G1600" s="32"/>
      <c r="H1600" s="32"/>
      <c r="I1600" s="32"/>
      <c r="J1600" s="32"/>
      <c r="K1600" s="32"/>
      <c r="L1600" s="32"/>
      <c r="M1600" s="32"/>
      <c r="N1600" s="32"/>
      <c r="O1600" s="32"/>
      <c r="P1600" s="32"/>
      <c r="Q1600" s="32"/>
      <c r="R1600" s="32"/>
      <c r="S1600" s="32"/>
      <c r="T1600" s="32"/>
      <c r="U1600" s="32"/>
      <c r="V1600" s="32"/>
      <c r="W1600" s="32"/>
      <c r="X1600" s="32"/>
      <c r="Y1600" s="32"/>
      <c r="Z1600" s="32"/>
      <c r="AA1600" s="32"/>
    </row>
    <row r="1601" spans="1:27" ht="15.75" customHeight="1">
      <c r="A1601" s="32">
        <v>7521</v>
      </c>
      <c r="B1601" s="1" t="s">
        <v>3452</v>
      </c>
      <c r="C1601" s="32" t="s">
        <v>3442</v>
      </c>
      <c r="D1601" s="75"/>
      <c r="E1601" s="32"/>
      <c r="F1601" s="32"/>
      <c r="G1601" s="32"/>
      <c r="H1601" s="32"/>
      <c r="I1601" s="32"/>
      <c r="J1601" s="32"/>
      <c r="K1601" s="32"/>
      <c r="L1601" s="32"/>
      <c r="M1601" s="32"/>
      <c r="N1601" s="32"/>
      <c r="O1601" s="32"/>
      <c r="P1601" s="32"/>
      <c r="Q1601" s="32"/>
      <c r="R1601" s="32"/>
      <c r="S1601" s="32"/>
      <c r="T1601" s="32"/>
      <c r="U1601" s="32"/>
      <c r="V1601" s="32"/>
      <c r="W1601" s="32"/>
      <c r="X1601" s="32"/>
      <c r="Y1601" s="32"/>
      <c r="Z1601" s="32"/>
      <c r="AA1601" s="32"/>
    </row>
    <row r="1602" spans="1:27" ht="15.75" customHeight="1">
      <c r="A1602" s="32">
        <v>7522</v>
      </c>
      <c r="B1602" s="1" t="s">
        <v>3453</v>
      </c>
      <c r="C1602" s="32" t="s">
        <v>3444</v>
      </c>
      <c r="D1602" s="75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</row>
    <row r="1603" spans="1:27" ht="15.75" customHeight="1">
      <c r="A1603" s="32">
        <v>7523</v>
      </c>
      <c r="B1603" s="67" t="s">
        <v>3454</v>
      </c>
      <c r="C1603" s="32" t="s">
        <v>3446</v>
      </c>
      <c r="D1603" s="75"/>
      <c r="E1603" s="32"/>
      <c r="F1603" s="32"/>
      <c r="G1603" s="32"/>
      <c r="H1603" s="32"/>
      <c r="I1603" s="32"/>
      <c r="J1603" s="32"/>
      <c r="K1603" s="32"/>
      <c r="L1603" s="32"/>
      <c r="M1603" s="32"/>
      <c r="N1603" s="32"/>
      <c r="O1603" s="32"/>
      <c r="P1603" s="32"/>
      <c r="Q1603" s="32"/>
      <c r="R1603" s="32"/>
      <c r="S1603" s="32"/>
      <c r="T1603" s="32"/>
      <c r="U1603" s="32"/>
      <c r="V1603" s="32"/>
      <c r="W1603" s="32"/>
      <c r="X1603" s="32"/>
      <c r="Y1603" s="32"/>
      <c r="Z1603" s="32"/>
      <c r="AA1603" s="32"/>
    </row>
    <row r="1604" spans="1:27" ht="15.75" customHeight="1">
      <c r="A1604" s="32">
        <v>7524</v>
      </c>
      <c r="B1604" s="32"/>
      <c r="C1604" s="32"/>
      <c r="D1604" s="75"/>
      <c r="E1604" s="32"/>
      <c r="F1604" s="32"/>
      <c r="G1604" s="32"/>
      <c r="H1604" s="32"/>
      <c r="I1604" s="32"/>
      <c r="J1604" s="32"/>
      <c r="K1604" s="32"/>
      <c r="L1604" s="32"/>
      <c r="M1604" s="32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  <c r="Y1604" s="32"/>
      <c r="Z1604" s="32"/>
      <c r="AA1604" s="32"/>
    </row>
    <row r="1605" spans="1:27" ht="15.75" customHeight="1">
      <c r="A1605" s="32">
        <v>7525</v>
      </c>
      <c r="B1605" s="32"/>
      <c r="C1605" s="32"/>
      <c r="D1605" s="75"/>
      <c r="E1605" s="32"/>
      <c r="F1605" s="32"/>
      <c r="G1605" s="32"/>
      <c r="H1605" s="32"/>
      <c r="I1605" s="32"/>
      <c r="J1605" s="32"/>
      <c r="K1605" s="32"/>
      <c r="L1605" s="32"/>
      <c r="M1605" s="32"/>
      <c r="N1605" s="32"/>
      <c r="O1605" s="32"/>
      <c r="P1605" s="32"/>
      <c r="Q1605" s="32"/>
      <c r="R1605" s="32"/>
      <c r="S1605" s="32"/>
      <c r="T1605" s="32"/>
      <c r="U1605" s="32"/>
      <c r="V1605" s="32"/>
      <c r="W1605" s="32"/>
      <c r="X1605" s="32"/>
      <c r="Y1605" s="32"/>
      <c r="Z1605" s="32"/>
      <c r="AA1605" s="32"/>
    </row>
    <row r="1606" spans="1:27" ht="15.75" customHeight="1">
      <c r="A1606" s="32">
        <v>7526</v>
      </c>
      <c r="B1606" s="32"/>
      <c r="C1606" s="32"/>
      <c r="D1606" s="75"/>
      <c r="E1606" s="32"/>
      <c r="F1606" s="32"/>
      <c r="G1606" s="32"/>
      <c r="H1606" s="32"/>
      <c r="I1606" s="32"/>
      <c r="J1606" s="32"/>
      <c r="K1606" s="32"/>
      <c r="L1606" s="32"/>
      <c r="M1606" s="32"/>
      <c r="N1606" s="32"/>
      <c r="O1606" s="32"/>
      <c r="P1606" s="32"/>
      <c r="Q1606" s="32"/>
      <c r="R1606" s="32"/>
      <c r="S1606" s="32"/>
      <c r="T1606" s="32"/>
      <c r="U1606" s="32"/>
      <c r="V1606" s="32"/>
      <c r="W1606" s="32"/>
      <c r="X1606" s="32"/>
      <c r="Y1606" s="32"/>
      <c r="Z1606" s="32"/>
      <c r="AA1606" s="32"/>
    </row>
    <row r="1607" spans="1:27" ht="15.75" customHeight="1">
      <c r="A1607" s="32">
        <v>7527</v>
      </c>
      <c r="B1607" s="32"/>
      <c r="C1607" s="32"/>
      <c r="D1607" s="75"/>
      <c r="E1607" s="32"/>
      <c r="F1607" s="32"/>
      <c r="G1607" s="32"/>
      <c r="H1607" s="32"/>
      <c r="I1607" s="32"/>
      <c r="J1607" s="32"/>
      <c r="K1607" s="32"/>
      <c r="L1607" s="32"/>
      <c r="M1607" s="32"/>
      <c r="N1607" s="32"/>
      <c r="O1607" s="32"/>
      <c r="P1607" s="32"/>
      <c r="Q1607" s="32"/>
      <c r="R1607" s="32"/>
      <c r="S1607" s="32"/>
      <c r="T1607" s="32"/>
      <c r="U1607" s="32"/>
      <c r="V1607" s="32"/>
      <c r="W1607" s="32"/>
      <c r="X1607" s="32"/>
      <c r="Y1607" s="32"/>
      <c r="Z1607" s="32"/>
      <c r="AA1607" s="32"/>
    </row>
    <row r="1608" spans="1:27" ht="15.75" customHeight="1">
      <c r="A1608" s="32">
        <v>7528</v>
      </c>
      <c r="B1608" s="32"/>
      <c r="C1608" s="32"/>
      <c r="D1608" s="75"/>
      <c r="E1608" s="32"/>
      <c r="F1608" s="32"/>
      <c r="G1608" s="32"/>
      <c r="H1608" s="32"/>
      <c r="I1608" s="32"/>
      <c r="J1608" s="32"/>
      <c r="K1608" s="32"/>
      <c r="L1608" s="32"/>
      <c r="M1608" s="32"/>
      <c r="N1608" s="32"/>
      <c r="O1608" s="32"/>
      <c r="P1608" s="32"/>
      <c r="Q1608" s="32"/>
      <c r="R1608" s="32"/>
      <c r="S1608" s="32"/>
      <c r="T1608" s="32"/>
      <c r="U1608" s="32"/>
      <c r="V1608" s="32"/>
      <c r="W1608" s="32"/>
      <c r="X1608" s="32"/>
      <c r="Y1608" s="32"/>
      <c r="Z1608" s="32"/>
      <c r="AA1608" s="32"/>
    </row>
    <row r="1609" spans="1:27" ht="15.75" customHeight="1">
      <c r="A1609" s="32">
        <v>7529</v>
      </c>
      <c r="B1609" s="32"/>
      <c r="C1609" s="32"/>
      <c r="D1609" s="75"/>
      <c r="E1609" s="32"/>
      <c r="F1609" s="32"/>
      <c r="G1609" s="32"/>
      <c r="H1609" s="32"/>
      <c r="I1609" s="32"/>
      <c r="J1609" s="32"/>
      <c r="K1609" s="32"/>
      <c r="L1609" s="32"/>
      <c r="M1609" s="32"/>
      <c r="N1609" s="32"/>
      <c r="O1609" s="32"/>
      <c r="P1609" s="32"/>
      <c r="Q1609" s="32"/>
      <c r="R1609" s="32"/>
      <c r="S1609" s="32"/>
      <c r="T1609" s="32"/>
      <c r="U1609" s="32"/>
      <c r="V1609" s="32"/>
      <c r="W1609" s="32"/>
      <c r="X1609" s="32"/>
      <c r="Y1609" s="32"/>
      <c r="Z1609" s="32"/>
      <c r="AA1609" s="32"/>
    </row>
    <row r="1610" spans="1:27" ht="15.75" customHeight="1">
      <c r="A1610" s="32">
        <v>7530</v>
      </c>
      <c r="B1610" s="1" t="s">
        <v>3455</v>
      </c>
      <c r="C1610" s="32" t="s">
        <v>3440</v>
      </c>
      <c r="D1610" s="75"/>
      <c r="E1610" s="32"/>
      <c r="F1610" s="32"/>
      <c r="G1610" s="32"/>
      <c r="H1610" s="32"/>
      <c r="I1610" s="32"/>
      <c r="J1610" s="32"/>
      <c r="K1610" s="32"/>
      <c r="L1610" s="32"/>
      <c r="M1610" s="32"/>
      <c r="N1610" s="32"/>
      <c r="O1610" s="32"/>
      <c r="P1610" s="32"/>
      <c r="Q1610" s="32"/>
      <c r="R1610" s="32"/>
      <c r="S1610" s="32"/>
      <c r="T1610" s="32"/>
      <c r="U1610" s="32"/>
      <c r="V1610" s="32"/>
      <c r="W1610" s="32"/>
      <c r="X1610" s="32"/>
      <c r="Y1610" s="32"/>
      <c r="Z1610" s="32"/>
      <c r="AA1610" s="32"/>
    </row>
    <row r="1611" spans="1:27" ht="15.75" customHeight="1">
      <c r="A1611" s="32">
        <v>7531</v>
      </c>
      <c r="B1611" s="1" t="s">
        <v>3456</v>
      </c>
      <c r="C1611" s="32" t="s">
        <v>3442</v>
      </c>
      <c r="D1611" s="75"/>
      <c r="E1611" s="32"/>
      <c r="F1611" s="32"/>
      <c r="G1611" s="32"/>
      <c r="H1611" s="32"/>
      <c r="I1611" s="32"/>
      <c r="J1611" s="32"/>
      <c r="K1611" s="32"/>
      <c r="L1611" s="32"/>
      <c r="M1611" s="32"/>
      <c r="N1611" s="32"/>
      <c r="O1611" s="32"/>
      <c r="P1611" s="32"/>
      <c r="Q1611" s="32"/>
      <c r="R1611" s="32"/>
      <c r="S1611" s="32"/>
      <c r="T1611" s="32"/>
      <c r="U1611" s="32"/>
      <c r="V1611" s="32"/>
      <c r="W1611" s="32"/>
      <c r="X1611" s="32"/>
      <c r="Y1611" s="32"/>
      <c r="Z1611" s="32"/>
      <c r="AA1611" s="32"/>
    </row>
    <row r="1612" spans="1:27" ht="15.75" customHeight="1">
      <c r="A1612" s="32">
        <v>7532</v>
      </c>
      <c r="B1612" s="1" t="s">
        <v>3457</v>
      </c>
      <c r="C1612" s="32" t="s">
        <v>3444</v>
      </c>
      <c r="D1612" s="75"/>
      <c r="E1612" s="32"/>
      <c r="F1612" s="32"/>
      <c r="G1612" s="32"/>
      <c r="H1612" s="32"/>
      <c r="I1612" s="32"/>
      <c r="J1612" s="32"/>
      <c r="K1612" s="32"/>
      <c r="L1612" s="32"/>
      <c r="M1612" s="32"/>
      <c r="N1612" s="32"/>
      <c r="O1612" s="32"/>
      <c r="P1612" s="32"/>
      <c r="Q1612" s="32"/>
      <c r="R1612" s="32"/>
      <c r="S1612" s="32"/>
      <c r="T1612" s="32"/>
      <c r="U1612" s="32"/>
      <c r="V1612" s="32"/>
      <c r="W1612" s="32"/>
      <c r="X1612" s="32"/>
      <c r="Y1612" s="32"/>
      <c r="Z1612" s="32"/>
      <c r="AA1612" s="32"/>
    </row>
    <row r="1613" spans="1:27" ht="15.75" customHeight="1">
      <c r="A1613" s="32">
        <v>7533</v>
      </c>
      <c r="B1613" s="67" t="s">
        <v>3458</v>
      </c>
      <c r="C1613" s="32" t="s">
        <v>3446</v>
      </c>
      <c r="D1613" s="75"/>
      <c r="E1613" s="32"/>
      <c r="F1613" s="32"/>
      <c r="G1613" s="32"/>
      <c r="H1613" s="32"/>
      <c r="I1613" s="32"/>
      <c r="J1613" s="32"/>
      <c r="K1613" s="32"/>
      <c r="L1613" s="32"/>
      <c r="M1613" s="32"/>
      <c r="N1613" s="32"/>
      <c r="O1613" s="32"/>
      <c r="P1613" s="32"/>
      <c r="Q1613" s="32"/>
      <c r="R1613" s="32"/>
      <c r="S1613" s="32"/>
      <c r="T1613" s="32"/>
      <c r="U1613" s="32"/>
      <c r="V1613" s="32"/>
      <c r="W1613" s="32"/>
      <c r="X1613" s="32"/>
      <c r="Y1613" s="32"/>
      <c r="Z1613" s="32"/>
      <c r="AA1613" s="32"/>
    </row>
    <row r="1614" spans="1:27" ht="15.75" customHeight="1">
      <c r="A1614" s="32">
        <v>7534</v>
      </c>
      <c r="B1614" s="32"/>
      <c r="C1614" s="32"/>
      <c r="D1614" s="75"/>
      <c r="E1614" s="32"/>
      <c r="F1614" s="32"/>
      <c r="G1614" s="32"/>
      <c r="H1614" s="32"/>
      <c r="I1614" s="32"/>
      <c r="J1614" s="32"/>
      <c r="K1614" s="32"/>
      <c r="L1614" s="32"/>
      <c r="M1614" s="32"/>
      <c r="N1614" s="32"/>
      <c r="O1614" s="32"/>
      <c r="P1614" s="32"/>
      <c r="Q1614" s="32"/>
      <c r="R1614" s="32"/>
      <c r="S1614" s="32"/>
      <c r="T1614" s="32"/>
      <c r="U1614" s="32"/>
      <c r="V1614" s="32"/>
      <c r="W1614" s="32"/>
      <c r="X1614" s="32"/>
      <c r="Y1614" s="32"/>
      <c r="Z1614" s="32"/>
      <c r="AA1614" s="32"/>
    </row>
    <row r="1615" spans="1:27" ht="15.75" customHeight="1">
      <c r="A1615" s="32">
        <v>7535</v>
      </c>
      <c r="B1615" s="32"/>
      <c r="C1615" s="32"/>
      <c r="D1615" s="75"/>
      <c r="E1615" s="32"/>
      <c r="F1615" s="32"/>
      <c r="G1615" s="32"/>
      <c r="H1615" s="32"/>
      <c r="I1615" s="32"/>
      <c r="J1615" s="32"/>
      <c r="K1615" s="32"/>
      <c r="L1615" s="32"/>
      <c r="M1615" s="32"/>
      <c r="N1615" s="32"/>
      <c r="O1615" s="32"/>
      <c r="P1615" s="32"/>
      <c r="Q1615" s="32"/>
      <c r="R1615" s="32"/>
      <c r="S1615" s="32"/>
      <c r="T1615" s="32"/>
      <c r="U1615" s="32"/>
      <c r="V1615" s="32"/>
      <c r="W1615" s="32"/>
      <c r="X1615" s="32"/>
      <c r="Y1615" s="32"/>
      <c r="Z1615" s="32"/>
      <c r="AA1615" s="32"/>
    </row>
    <row r="1616" spans="1:27" ht="15.75" customHeight="1">
      <c r="A1616" s="32">
        <v>7536</v>
      </c>
      <c r="B1616" s="32"/>
      <c r="C1616" s="32"/>
      <c r="D1616" s="75"/>
      <c r="E1616" s="32"/>
      <c r="F1616" s="32"/>
      <c r="G1616" s="32"/>
      <c r="H1616" s="32"/>
      <c r="I1616" s="32"/>
      <c r="J1616" s="32"/>
      <c r="K1616" s="32"/>
      <c r="L1616" s="32"/>
      <c r="M1616" s="32"/>
      <c r="N1616" s="32"/>
      <c r="O1616" s="32"/>
      <c r="P1616" s="32"/>
      <c r="Q1616" s="32"/>
      <c r="R1616" s="32"/>
      <c r="S1616" s="32"/>
      <c r="T1616" s="32"/>
      <c r="U1616" s="32"/>
      <c r="V1616" s="32"/>
      <c r="W1616" s="32"/>
      <c r="X1616" s="32"/>
      <c r="Y1616" s="32"/>
      <c r="Z1616" s="32"/>
      <c r="AA1616" s="32"/>
    </row>
    <row r="1617" spans="1:27" ht="15.75" customHeight="1">
      <c r="A1617" s="32">
        <v>7537</v>
      </c>
      <c r="B1617" s="32"/>
      <c r="C1617" s="32"/>
      <c r="D1617" s="75"/>
      <c r="E1617" s="32"/>
      <c r="F1617" s="32"/>
      <c r="G1617" s="32"/>
      <c r="H1617" s="32"/>
      <c r="I1617" s="32"/>
      <c r="J1617" s="32"/>
      <c r="K1617" s="32"/>
      <c r="L1617" s="32"/>
      <c r="M1617" s="32"/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  <c r="AA1617" s="32"/>
    </row>
    <row r="1618" spans="1:27" ht="15.75" customHeight="1">
      <c r="A1618" s="32">
        <v>7538</v>
      </c>
      <c r="B1618" s="32"/>
      <c r="C1618" s="32"/>
      <c r="D1618" s="75"/>
      <c r="E1618" s="32"/>
      <c r="F1618" s="32"/>
      <c r="G1618" s="32"/>
      <c r="H1618" s="32"/>
      <c r="I1618" s="32"/>
      <c r="J1618" s="32"/>
      <c r="K1618" s="32"/>
      <c r="L1618" s="32"/>
      <c r="M1618" s="32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  <c r="Y1618" s="32"/>
      <c r="Z1618" s="32"/>
      <c r="AA1618" s="32"/>
    </row>
    <row r="1619" spans="1:27" ht="15.75" customHeight="1">
      <c r="A1619" s="32">
        <v>7539</v>
      </c>
      <c r="B1619" s="32"/>
      <c r="C1619" s="32"/>
      <c r="D1619" s="75"/>
      <c r="E1619" s="32"/>
      <c r="F1619" s="32"/>
      <c r="G1619" s="32"/>
      <c r="H1619" s="32"/>
      <c r="I1619" s="32"/>
      <c r="J1619" s="32"/>
      <c r="K1619" s="32"/>
      <c r="L1619" s="32"/>
      <c r="M1619" s="32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/>
      <c r="X1619" s="32"/>
      <c r="Y1619" s="32"/>
      <c r="Z1619" s="32"/>
      <c r="AA1619" s="32"/>
    </row>
    <row r="1620" spans="1:27" ht="15.75" customHeight="1">
      <c r="A1620" s="32">
        <v>7540</v>
      </c>
      <c r="B1620" s="32"/>
      <c r="C1620" s="77" t="s">
        <v>3459</v>
      </c>
      <c r="D1620" s="75"/>
      <c r="E1620" s="32"/>
      <c r="F1620" s="32"/>
      <c r="G1620" s="32"/>
      <c r="H1620" s="32"/>
      <c r="I1620" s="32"/>
      <c r="J1620" s="32"/>
      <c r="K1620" s="32"/>
      <c r="L1620" s="32"/>
      <c r="M1620" s="32"/>
      <c r="N1620" s="32"/>
      <c r="O1620" s="32"/>
      <c r="P1620" s="32"/>
      <c r="Q1620" s="32"/>
      <c r="R1620" s="32"/>
      <c r="S1620" s="32"/>
      <c r="T1620" s="32"/>
      <c r="U1620" s="32"/>
      <c r="V1620" s="32"/>
      <c r="W1620" s="32"/>
      <c r="X1620" s="32"/>
      <c r="Y1620" s="32"/>
      <c r="Z1620" s="32"/>
      <c r="AA1620" s="32"/>
    </row>
    <row r="1621" spans="1:27" ht="15.75" customHeight="1">
      <c r="A1621" s="32">
        <v>7541</v>
      </c>
      <c r="B1621" s="32"/>
      <c r="C1621" s="32" t="s">
        <v>3460</v>
      </c>
      <c r="D1621" s="75"/>
      <c r="E1621" s="32"/>
      <c r="F1621" s="32"/>
      <c r="G1621" s="32"/>
      <c r="H1621" s="32"/>
      <c r="I1621" s="32"/>
      <c r="J1621" s="32"/>
      <c r="K1621" s="32"/>
      <c r="L1621" s="32"/>
      <c r="M1621" s="32"/>
      <c r="N1621" s="32"/>
      <c r="O1621" s="32"/>
      <c r="P1621" s="32"/>
      <c r="Q1621" s="32"/>
      <c r="R1621" s="32"/>
      <c r="S1621" s="32"/>
      <c r="T1621" s="32"/>
      <c r="U1621" s="32"/>
      <c r="V1621" s="32"/>
      <c r="W1621" s="32"/>
      <c r="X1621" s="32"/>
      <c r="Y1621" s="32"/>
      <c r="Z1621" s="32"/>
      <c r="AA1621" s="32"/>
    </row>
    <row r="1622" spans="1:27" ht="15.75" customHeight="1">
      <c r="A1622" s="32">
        <v>7542</v>
      </c>
      <c r="B1622" s="32"/>
      <c r="C1622" s="32" t="s">
        <v>3107</v>
      </c>
      <c r="D1622" s="75"/>
      <c r="E1622" s="32"/>
      <c r="F1622" s="32"/>
      <c r="G1622" s="32"/>
      <c r="H1622" s="32"/>
      <c r="I1622" s="32"/>
      <c r="J1622" s="32"/>
      <c r="K1622" s="32"/>
      <c r="L1622" s="32"/>
      <c r="M1622" s="32"/>
      <c r="N1622" s="32"/>
      <c r="O1622" s="32"/>
      <c r="P1622" s="32"/>
      <c r="Q1622" s="32"/>
      <c r="R1622" s="32"/>
      <c r="S1622" s="32"/>
      <c r="T1622" s="32"/>
      <c r="U1622" s="32"/>
      <c r="V1622" s="32"/>
      <c r="W1622" s="32"/>
      <c r="X1622" s="32"/>
      <c r="Y1622" s="32"/>
      <c r="Z1622" s="32"/>
      <c r="AA1622" s="32"/>
    </row>
    <row r="1623" spans="1:27" ht="15.75" customHeight="1">
      <c r="A1623" s="32">
        <v>7543</v>
      </c>
      <c r="B1623" s="32"/>
      <c r="C1623" s="32" t="s">
        <v>3107</v>
      </c>
      <c r="D1623" s="75"/>
      <c r="E1623" s="32"/>
      <c r="F1623" s="32"/>
      <c r="G1623" s="32"/>
      <c r="H1623" s="32"/>
      <c r="I1623" s="32"/>
      <c r="J1623" s="32"/>
      <c r="K1623" s="32"/>
      <c r="L1623" s="32"/>
      <c r="M1623" s="32"/>
      <c r="N1623" s="32"/>
      <c r="O1623" s="32"/>
      <c r="P1623" s="32"/>
      <c r="Q1623" s="32"/>
      <c r="R1623" s="32"/>
      <c r="S1623" s="32"/>
      <c r="T1623" s="32"/>
      <c r="U1623" s="32"/>
      <c r="V1623" s="32"/>
      <c r="W1623" s="32"/>
      <c r="X1623" s="32"/>
      <c r="Y1623" s="32"/>
      <c r="Z1623" s="32"/>
      <c r="AA1623" s="32"/>
    </row>
    <row r="1624" spans="1:27" ht="15.75" customHeight="1">
      <c r="A1624" s="32">
        <v>7544</v>
      </c>
      <c r="B1624" s="32"/>
      <c r="C1624" s="32" t="s">
        <v>3107</v>
      </c>
      <c r="D1624" s="75"/>
      <c r="E1624" s="32"/>
      <c r="F1624" s="32"/>
      <c r="G1624" s="32"/>
      <c r="H1624" s="32"/>
      <c r="I1624" s="32"/>
      <c r="J1624" s="32"/>
      <c r="K1624" s="32"/>
      <c r="L1624" s="32"/>
      <c r="M1624" s="32"/>
      <c r="N1624" s="32"/>
      <c r="O1624" s="32"/>
      <c r="P1624" s="32"/>
      <c r="Q1624" s="32"/>
      <c r="R1624" s="32"/>
      <c r="S1624" s="32"/>
      <c r="T1624" s="32"/>
      <c r="U1624" s="32"/>
      <c r="V1624" s="32"/>
      <c r="W1624" s="32"/>
      <c r="X1624" s="32"/>
      <c r="Y1624" s="32"/>
      <c r="Z1624" s="32"/>
      <c r="AA1624" s="32"/>
    </row>
    <row r="1625" spans="1:27" ht="15.75" customHeight="1">
      <c r="A1625" s="32">
        <v>7545</v>
      </c>
      <c r="B1625" s="32"/>
      <c r="C1625" s="32"/>
      <c r="D1625" s="75"/>
      <c r="E1625" s="32"/>
      <c r="F1625" s="32"/>
      <c r="G1625" s="32"/>
      <c r="H1625" s="32"/>
      <c r="I1625" s="32"/>
      <c r="J1625" s="32"/>
      <c r="K1625" s="32"/>
      <c r="L1625" s="32"/>
      <c r="M1625" s="32"/>
      <c r="N1625" s="32"/>
      <c r="O1625" s="32"/>
      <c r="P1625" s="32"/>
      <c r="Q1625" s="32"/>
      <c r="R1625" s="32"/>
      <c r="S1625" s="32"/>
      <c r="T1625" s="32"/>
      <c r="U1625" s="32"/>
      <c r="V1625" s="32"/>
      <c r="W1625" s="32"/>
      <c r="X1625" s="32"/>
      <c r="Y1625" s="32"/>
      <c r="Z1625" s="32"/>
      <c r="AA1625" s="32"/>
    </row>
    <row r="1626" spans="1:27" ht="15.75" customHeight="1">
      <c r="A1626" s="32">
        <v>7546</v>
      </c>
      <c r="B1626" s="32"/>
      <c r="C1626" s="32"/>
      <c r="D1626" s="75"/>
      <c r="E1626" s="32"/>
      <c r="F1626" s="32"/>
      <c r="G1626" s="32"/>
      <c r="H1626" s="32"/>
      <c r="I1626" s="32"/>
      <c r="J1626" s="32"/>
      <c r="K1626" s="32"/>
      <c r="L1626" s="32"/>
      <c r="M1626" s="32"/>
      <c r="N1626" s="32"/>
      <c r="O1626" s="32"/>
      <c r="P1626" s="32"/>
      <c r="Q1626" s="32"/>
      <c r="R1626" s="32"/>
      <c r="S1626" s="32"/>
      <c r="T1626" s="32"/>
      <c r="U1626" s="32"/>
      <c r="V1626" s="32"/>
      <c r="W1626" s="32"/>
      <c r="X1626" s="32"/>
      <c r="Y1626" s="32"/>
      <c r="Z1626" s="32"/>
      <c r="AA1626" s="32"/>
    </row>
    <row r="1627" spans="1:27" ht="15.75" customHeight="1">
      <c r="A1627" s="32">
        <v>7547</v>
      </c>
      <c r="B1627" s="32"/>
      <c r="C1627" s="32"/>
      <c r="D1627" s="75"/>
      <c r="E1627" s="32"/>
      <c r="F1627" s="32"/>
      <c r="G1627" s="32"/>
      <c r="H1627" s="32"/>
      <c r="I1627" s="32"/>
      <c r="J1627" s="32"/>
      <c r="K1627" s="32"/>
      <c r="L1627" s="32"/>
      <c r="M1627" s="32"/>
      <c r="N1627" s="32"/>
      <c r="O1627" s="32"/>
      <c r="P1627" s="32"/>
      <c r="Q1627" s="32"/>
      <c r="R1627" s="32"/>
      <c r="S1627" s="32"/>
      <c r="T1627" s="32"/>
      <c r="U1627" s="32"/>
      <c r="V1627" s="32"/>
      <c r="W1627" s="32"/>
      <c r="X1627" s="32"/>
      <c r="Y1627" s="32"/>
      <c r="Z1627" s="32"/>
      <c r="AA1627" s="32"/>
    </row>
    <row r="1628" spans="1:27" ht="15.75" customHeight="1">
      <c r="A1628" s="32">
        <v>7548</v>
      </c>
      <c r="B1628" s="32"/>
      <c r="C1628" s="32"/>
      <c r="D1628" s="75"/>
      <c r="E1628" s="32"/>
      <c r="F1628" s="32"/>
      <c r="G1628" s="32"/>
      <c r="H1628" s="32"/>
      <c r="I1628" s="32"/>
      <c r="J1628" s="32"/>
      <c r="K1628" s="32"/>
      <c r="L1628" s="32"/>
      <c r="M1628" s="32"/>
      <c r="N1628" s="32"/>
      <c r="O1628" s="32"/>
      <c r="P1628" s="32"/>
      <c r="Q1628" s="32"/>
      <c r="R1628" s="32"/>
      <c r="S1628" s="32"/>
      <c r="T1628" s="32"/>
      <c r="U1628" s="32"/>
      <c r="V1628" s="32"/>
      <c r="W1628" s="32"/>
      <c r="X1628" s="32"/>
      <c r="Y1628" s="32"/>
      <c r="Z1628" s="32"/>
      <c r="AA1628" s="32"/>
    </row>
    <row r="1629" spans="1:27" ht="15.75" customHeight="1">
      <c r="A1629" s="32">
        <v>7549</v>
      </c>
      <c r="B1629" s="32"/>
      <c r="C1629" s="32"/>
      <c r="D1629" s="75"/>
      <c r="E1629" s="32"/>
      <c r="F1629" s="32"/>
      <c r="G1629" s="32"/>
      <c r="H1629" s="32"/>
      <c r="I1629" s="32"/>
      <c r="J1629" s="32"/>
      <c r="K1629" s="32"/>
      <c r="L1629" s="32"/>
      <c r="M1629" s="32"/>
      <c r="N1629" s="32"/>
      <c r="O1629" s="32"/>
      <c r="P1629" s="32"/>
      <c r="Q1629" s="32"/>
      <c r="R1629" s="32"/>
      <c r="S1629" s="32"/>
      <c r="T1629" s="32"/>
      <c r="U1629" s="32"/>
      <c r="V1629" s="32"/>
      <c r="W1629" s="32"/>
      <c r="X1629" s="32"/>
      <c r="Y1629" s="32"/>
      <c r="Z1629" s="32"/>
      <c r="AA1629" s="32"/>
    </row>
    <row r="1630" spans="1:27" ht="15.75" customHeight="1">
      <c r="A1630" s="32">
        <v>7550</v>
      </c>
      <c r="B1630" s="32"/>
      <c r="C1630" s="32" t="s">
        <v>3461</v>
      </c>
      <c r="D1630" s="75"/>
      <c r="E1630" s="32"/>
      <c r="F1630" s="32"/>
      <c r="G1630" s="32"/>
      <c r="H1630" s="32"/>
      <c r="I1630" s="32"/>
      <c r="J1630" s="32"/>
      <c r="K1630" s="32"/>
      <c r="L1630" s="32"/>
      <c r="M1630" s="32"/>
      <c r="N1630" s="32"/>
      <c r="O1630" s="32"/>
      <c r="P1630" s="32"/>
      <c r="Q1630" s="32"/>
      <c r="R1630" s="32"/>
      <c r="S1630" s="32"/>
      <c r="T1630" s="32"/>
      <c r="U1630" s="32"/>
      <c r="V1630" s="32"/>
      <c r="W1630" s="32"/>
      <c r="X1630" s="32"/>
      <c r="Y1630" s="32"/>
      <c r="Z1630" s="32"/>
      <c r="AA1630" s="32"/>
    </row>
    <row r="1631" spans="1:27" ht="15.75" customHeight="1">
      <c r="A1631" s="32">
        <v>7554</v>
      </c>
      <c r="B1631" s="32" t="s">
        <v>3462</v>
      </c>
      <c r="C1631" s="32" t="s">
        <v>3463</v>
      </c>
      <c r="D1631" s="75"/>
      <c r="E1631" s="32"/>
      <c r="F1631" s="32"/>
      <c r="G1631" s="32"/>
      <c r="H1631" s="32"/>
      <c r="I1631" s="32"/>
      <c r="J1631" s="32"/>
      <c r="K1631" s="32"/>
      <c r="L1631" s="32"/>
      <c r="M1631" s="32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/>
      <c r="Y1631" s="32"/>
      <c r="Z1631" s="32"/>
      <c r="AA1631" s="32"/>
    </row>
    <row r="1632" spans="1:27" ht="15.75" customHeight="1">
      <c r="A1632" s="32">
        <v>7555</v>
      </c>
      <c r="B1632" s="32" t="s">
        <v>3464</v>
      </c>
      <c r="C1632" s="32" t="s">
        <v>3465</v>
      </c>
      <c r="D1632" s="75"/>
      <c r="E1632" s="32"/>
      <c r="F1632" s="32"/>
      <c r="G1632" s="32"/>
      <c r="H1632" s="32"/>
      <c r="I1632" s="32"/>
      <c r="J1632" s="32"/>
      <c r="K1632" s="32"/>
      <c r="L1632" s="32"/>
      <c r="M1632" s="32"/>
      <c r="N1632" s="32"/>
      <c r="O1632" s="32"/>
      <c r="P1632" s="32"/>
      <c r="Q1632" s="32"/>
      <c r="R1632" s="32"/>
      <c r="S1632" s="32"/>
      <c r="T1632" s="32"/>
      <c r="U1632" s="32"/>
      <c r="V1632" s="32"/>
      <c r="W1632" s="32"/>
      <c r="X1632" s="32"/>
      <c r="Y1632" s="32"/>
      <c r="Z1632" s="32"/>
      <c r="AA1632" s="32"/>
    </row>
    <row r="1633" spans="1:27" ht="15.75" customHeight="1">
      <c r="A1633" s="32">
        <v>7652</v>
      </c>
      <c r="B1633" s="32" t="s">
        <v>3466</v>
      </c>
      <c r="C1633" s="32" t="s">
        <v>3467</v>
      </c>
      <c r="D1633" s="75"/>
      <c r="E1633" s="32"/>
      <c r="F1633" s="32"/>
      <c r="G1633" s="32"/>
      <c r="H1633" s="32"/>
      <c r="I1633" s="32"/>
      <c r="J1633" s="32"/>
      <c r="K1633" s="32"/>
      <c r="L1633" s="32"/>
      <c r="M1633" s="32"/>
      <c r="N1633" s="32"/>
      <c r="O1633" s="32"/>
      <c r="P1633" s="32"/>
      <c r="Q1633" s="32"/>
      <c r="R1633" s="32"/>
      <c r="S1633" s="32"/>
      <c r="T1633" s="32"/>
      <c r="U1633" s="32"/>
      <c r="V1633" s="32"/>
      <c r="W1633" s="32"/>
      <c r="X1633" s="32"/>
      <c r="Y1633" s="32"/>
      <c r="Z1633" s="32"/>
      <c r="AA1633" s="32"/>
    </row>
    <row r="1634" spans="1:27" ht="15.75" customHeight="1">
      <c r="A1634" s="32"/>
      <c r="B1634" s="32"/>
      <c r="C1634" s="32"/>
      <c r="D1634" s="75"/>
      <c r="E1634" s="32"/>
      <c r="F1634" s="32"/>
      <c r="G1634" s="32"/>
      <c r="H1634" s="32"/>
      <c r="I1634" s="32"/>
      <c r="J1634" s="32"/>
      <c r="K1634" s="32"/>
      <c r="L1634" s="32"/>
      <c r="M1634" s="32"/>
      <c r="N1634" s="32"/>
      <c r="O1634" s="32"/>
      <c r="P1634" s="32"/>
      <c r="Q1634" s="32"/>
      <c r="R1634" s="32"/>
      <c r="S1634" s="32"/>
      <c r="T1634" s="32"/>
      <c r="U1634" s="32"/>
      <c r="V1634" s="32"/>
      <c r="W1634" s="32"/>
      <c r="X1634" s="32"/>
      <c r="Y1634" s="32"/>
      <c r="Z1634" s="32"/>
      <c r="AA1634" s="32"/>
    </row>
    <row r="1635" spans="1:27" ht="15" customHeight="1">
      <c r="A1635" s="32"/>
      <c r="B1635" s="1" t="s">
        <v>1062</v>
      </c>
      <c r="C1635" s="1" t="s">
        <v>3468</v>
      </c>
      <c r="D1635" s="75"/>
      <c r="E1635" s="32"/>
      <c r="F1635" s="32"/>
      <c r="G1635" s="32"/>
      <c r="H1635" s="32"/>
      <c r="I1635" s="32"/>
      <c r="J1635" s="32"/>
      <c r="K1635" s="32"/>
      <c r="L1635" s="32"/>
      <c r="M1635" s="32"/>
      <c r="N1635" s="32"/>
      <c r="O1635" s="32"/>
      <c r="P1635" s="32"/>
      <c r="Q1635" s="32"/>
      <c r="R1635" s="32"/>
      <c r="S1635" s="32"/>
      <c r="T1635" s="32"/>
      <c r="U1635" s="32"/>
      <c r="V1635" s="32"/>
      <c r="W1635" s="32"/>
      <c r="X1635" s="32"/>
      <c r="Y1635" s="32"/>
      <c r="Z1635" s="32"/>
      <c r="AA1635" s="32"/>
    </row>
    <row r="1636" spans="1:27" ht="15" customHeight="1">
      <c r="A1636" s="32"/>
      <c r="B1636" s="1" t="s">
        <v>3469</v>
      </c>
      <c r="C1636" s="1" t="s">
        <v>3470</v>
      </c>
      <c r="D1636" s="75"/>
      <c r="E1636" s="32"/>
      <c r="F1636" s="32"/>
      <c r="G1636" s="32"/>
      <c r="H1636" s="32"/>
      <c r="I1636" s="32"/>
      <c r="J1636" s="32"/>
      <c r="K1636" s="32"/>
      <c r="L1636" s="32"/>
      <c r="M1636" s="32"/>
      <c r="N1636" s="32"/>
      <c r="O1636" s="32"/>
      <c r="P1636" s="32"/>
      <c r="Q1636" s="32"/>
      <c r="R1636" s="32"/>
      <c r="S1636" s="32"/>
      <c r="T1636" s="32"/>
      <c r="U1636" s="32"/>
      <c r="V1636" s="32"/>
      <c r="W1636" s="32"/>
      <c r="X1636" s="32"/>
      <c r="Y1636" s="32"/>
      <c r="Z1636" s="32"/>
      <c r="AA1636" s="32"/>
    </row>
    <row r="1637" spans="1:27" ht="15" customHeight="1">
      <c r="A1637" s="32"/>
      <c r="B1637" s="1" t="s">
        <v>1060</v>
      </c>
      <c r="C1637" s="1" t="s">
        <v>3471</v>
      </c>
      <c r="D1637" s="75"/>
      <c r="E1637" s="32"/>
      <c r="F1637" s="32"/>
      <c r="G1637" s="32"/>
      <c r="H1637" s="32"/>
      <c r="I1637" s="32"/>
      <c r="J1637" s="32"/>
      <c r="K1637" s="32"/>
      <c r="L1637" s="32"/>
      <c r="M1637" s="32"/>
      <c r="N1637" s="32"/>
      <c r="O1637" s="32"/>
      <c r="P1637" s="32"/>
      <c r="Q1637" s="32"/>
      <c r="R1637" s="32"/>
      <c r="S1637" s="32"/>
      <c r="T1637" s="32"/>
      <c r="U1637" s="32"/>
      <c r="V1637" s="32"/>
      <c r="W1637" s="32"/>
      <c r="X1637" s="32"/>
      <c r="Y1637" s="32"/>
      <c r="Z1637" s="32"/>
      <c r="AA1637" s="32"/>
    </row>
    <row r="1638" spans="1:27" ht="15" customHeight="1">
      <c r="A1638" s="32"/>
      <c r="B1638" s="1" t="s">
        <v>1061</v>
      </c>
      <c r="C1638" s="1" t="s">
        <v>3472</v>
      </c>
      <c r="D1638" s="75"/>
      <c r="E1638" s="32"/>
      <c r="F1638" s="32"/>
      <c r="G1638" s="32"/>
      <c r="H1638" s="32"/>
      <c r="I1638" s="32"/>
      <c r="J1638" s="32"/>
      <c r="K1638" s="32"/>
      <c r="L1638" s="32"/>
      <c r="M1638" s="32"/>
      <c r="N1638" s="32"/>
      <c r="O1638" s="32"/>
      <c r="P1638" s="32"/>
      <c r="Q1638" s="32"/>
      <c r="R1638" s="32"/>
      <c r="S1638" s="32"/>
      <c r="T1638" s="32"/>
      <c r="U1638" s="32"/>
      <c r="V1638" s="32"/>
      <c r="W1638" s="32"/>
      <c r="X1638" s="32"/>
      <c r="Y1638" s="32"/>
      <c r="Z1638" s="32"/>
      <c r="AA1638" s="32"/>
    </row>
    <row r="1639" spans="1:27" ht="15" customHeight="1">
      <c r="A1639" s="32"/>
      <c r="B1639" s="1" t="s">
        <v>3473</v>
      </c>
      <c r="C1639" s="1" t="s">
        <v>3474</v>
      </c>
      <c r="D1639" s="75"/>
      <c r="E1639" s="32"/>
      <c r="F1639" s="32"/>
      <c r="G1639" s="32"/>
      <c r="H1639" s="32"/>
      <c r="I1639" s="32"/>
      <c r="J1639" s="32"/>
      <c r="K1639" s="32"/>
      <c r="L1639" s="32"/>
      <c r="M1639" s="32"/>
      <c r="N1639" s="32"/>
      <c r="O1639" s="32"/>
      <c r="P1639" s="32"/>
      <c r="Q1639" s="32"/>
      <c r="R1639" s="32"/>
      <c r="S1639" s="32"/>
      <c r="T1639" s="32"/>
      <c r="U1639" s="32"/>
      <c r="V1639" s="32"/>
      <c r="W1639" s="32"/>
      <c r="X1639" s="32"/>
      <c r="Y1639" s="32"/>
      <c r="Z1639" s="32"/>
      <c r="AA1639" s="32"/>
    </row>
    <row r="1640" spans="1:27" ht="15" customHeight="1">
      <c r="A1640" s="32"/>
      <c r="B1640" s="1" t="s">
        <v>3475</v>
      </c>
      <c r="C1640" s="1" t="s">
        <v>3476</v>
      </c>
      <c r="D1640" s="75"/>
      <c r="E1640" s="32"/>
      <c r="F1640" s="32"/>
      <c r="G1640" s="32"/>
      <c r="H1640" s="32"/>
      <c r="I1640" s="32"/>
      <c r="J1640" s="32"/>
      <c r="K1640" s="32"/>
      <c r="L1640" s="32"/>
      <c r="M1640" s="32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  <c r="AA1640" s="32"/>
    </row>
    <row r="1641" spans="1:27" ht="15.75" customHeight="1">
      <c r="A1641" s="32">
        <v>7770</v>
      </c>
      <c r="B1641" s="32" t="s">
        <v>3477</v>
      </c>
      <c r="C1641" s="32" t="s">
        <v>3478</v>
      </c>
      <c r="D1641" s="75"/>
      <c r="E1641" s="32"/>
      <c r="F1641" s="32"/>
      <c r="G1641" s="32"/>
      <c r="H1641" s="32"/>
      <c r="I1641" s="32"/>
      <c r="J1641" s="32"/>
      <c r="K1641" s="32"/>
      <c r="L1641" s="32"/>
      <c r="M1641" s="32"/>
      <c r="N1641" s="32"/>
      <c r="O1641" s="32"/>
      <c r="P1641" s="32"/>
      <c r="Q1641" s="32"/>
      <c r="R1641" s="32"/>
      <c r="S1641" s="32"/>
      <c r="T1641" s="32"/>
      <c r="U1641" s="32"/>
      <c r="V1641" s="32"/>
      <c r="W1641" s="32"/>
      <c r="X1641" s="32"/>
      <c r="Y1641" s="32"/>
      <c r="Z1641" s="32"/>
      <c r="AA1641" s="32"/>
    </row>
    <row r="1642" spans="1:27" ht="15" customHeight="1">
      <c r="A1642" s="83" t="s">
        <v>3479</v>
      </c>
      <c r="B1642" s="81"/>
      <c r="C1642" s="81"/>
      <c r="D1642" s="81"/>
      <c r="E1642" s="82"/>
      <c r="F1642" s="32"/>
      <c r="G1642" s="32"/>
      <c r="H1642" s="32"/>
      <c r="I1642" s="32"/>
      <c r="J1642" s="32"/>
      <c r="K1642" s="32"/>
      <c r="L1642" s="32"/>
      <c r="M1642" s="32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  <c r="Y1642" s="32"/>
      <c r="Z1642" s="32"/>
      <c r="AA1642" s="32"/>
    </row>
    <row r="1643" spans="1:27" ht="15" customHeight="1">
      <c r="A1643" s="1" t="s">
        <v>3480</v>
      </c>
      <c r="B1643" s="1"/>
      <c r="C1643" s="1"/>
      <c r="D1643" s="2"/>
      <c r="E1643" s="1"/>
      <c r="F1643" s="32"/>
      <c r="G1643" s="32"/>
      <c r="H1643" s="32"/>
      <c r="I1643" s="32"/>
      <c r="J1643" s="32"/>
      <c r="K1643" s="32"/>
      <c r="L1643" s="32"/>
      <c r="M1643" s="32"/>
      <c r="N1643" s="32"/>
      <c r="O1643" s="32"/>
      <c r="P1643" s="32"/>
      <c r="Q1643" s="32"/>
      <c r="R1643" s="32"/>
      <c r="S1643" s="32"/>
      <c r="T1643" s="32"/>
      <c r="U1643" s="32"/>
      <c r="V1643" s="32"/>
      <c r="W1643" s="32"/>
      <c r="X1643" s="32"/>
      <c r="Y1643" s="32"/>
      <c r="Z1643" s="32"/>
      <c r="AA1643" s="32"/>
    </row>
    <row r="1644" spans="1:27" ht="15.75" customHeight="1">
      <c r="A1644" s="32"/>
      <c r="B1644" s="32"/>
      <c r="C1644" s="32"/>
      <c r="D1644" s="75"/>
      <c r="E1644" s="32"/>
      <c r="F1644" s="32"/>
      <c r="G1644" s="32"/>
      <c r="H1644" s="32"/>
      <c r="I1644" s="32"/>
      <c r="J1644" s="32"/>
      <c r="K1644" s="32"/>
      <c r="L1644" s="32"/>
      <c r="M1644" s="32"/>
      <c r="N1644" s="32"/>
      <c r="O1644" s="32"/>
      <c r="P1644" s="32"/>
      <c r="Q1644" s="32"/>
      <c r="R1644" s="32"/>
      <c r="S1644" s="32"/>
      <c r="T1644" s="32"/>
      <c r="U1644" s="32"/>
      <c r="V1644" s="32"/>
      <c r="W1644" s="32"/>
      <c r="X1644" s="32"/>
      <c r="Y1644" s="32"/>
      <c r="Z1644" s="32"/>
      <c r="AA1644" s="32"/>
    </row>
    <row r="1645" spans="1:27" ht="15" customHeight="1">
      <c r="A1645" s="83" t="s">
        <v>3481</v>
      </c>
      <c r="B1645" s="81"/>
      <c r="C1645" s="81"/>
      <c r="D1645" s="81"/>
      <c r="E1645" s="82"/>
      <c r="F1645" s="32"/>
      <c r="G1645" s="32"/>
      <c r="H1645" s="32"/>
      <c r="I1645" s="32"/>
      <c r="J1645" s="32"/>
      <c r="K1645" s="32"/>
      <c r="L1645" s="32"/>
      <c r="M1645" s="32"/>
      <c r="N1645" s="32"/>
      <c r="O1645" s="32"/>
      <c r="P1645" s="32"/>
      <c r="Q1645" s="32"/>
      <c r="R1645" s="32"/>
      <c r="S1645" s="32"/>
      <c r="T1645" s="32"/>
      <c r="U1645" s="32"/>
      <c r="V1645" s="32"/>
      <c r="W1645" s="32"/>
      <c r="X1645" s="32"/>
      <c r="Y1645" s="32"/>
      <c r="Z1645" s="32"/>
      <c r="AA1645" s="32"/>
    </row>
    <row r="1646" spans="1:27" ht="15" customHeight="1">
      <c r="A1646" s="1" t="s">
        <v>3482</v>
      </c>
      <c r="B1646" s="1"/>
      <c r="C1646" s="1"/>
      <c r="D1646" s="2"/>
      <c r="E1646" s="1"/>
      <c r="F1646" s="32"/>
      <c r="G1646" s="32"/>
      <c r="H1646" s="32"/>
      <c r="I1646" s="32"/>
      <c r="J1646" s="32"/>
      <c r="K1646" s="32"/>
      <c r="L1646" s="32"/>
      <c r="M1646" s="32"/>
      <c r="N1646" s="32"/>
      <c r="O1646" s="32"/>
      <c r="P1646" s="32"/>
      <c r="Q1646" s="32"/>
      <c r="R1646" s="32"/>
      <c r="S1646" s="32"/>
      <c r="T1646" s="32"/>
      <c r="U1646" s="32"/>
      <c r="V1646" s="32"/>
      <c r="W1646" s="32"/>
      <c r="X1646" s="32"/>
      <c r="Y1646" s="32"/>
      <c r="Z1646" s="32"/>
      <c r="AA1646" s="32"/>
    </row>
    <row r="1647" spans="1:27" ht="15.75" customHeight="1">
      <c r="A1647" s="32"/>
      <c r="B1647" s="32"/>
      <c r="C1647" s="32"/>
      <c r="D1647" s="75"/>
      <c r="E1647" s="32"/>
      <c r="F1647" s="32"/>
      <c r="G1647" s="32"/>
      <c r="H1647" s="32"/>
      <c r="I1647" s="32"/>
      <c r="J1647" s="32"/>
      <c r="K1647" s="32"/>
      <c r="L1647" s="32"/>
      <c r="M1647" s="32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32"/>
      <c r="Y1647" s="32"/>
      <c r="Z1647" s="32"/>
      <c r="AA1647" s="32"/>
    </row>
    <row r="1648" spans="1:27" ht="15" customHeight="1">
      <c r="A1648" s="78" t="s">
        <v>3483</v>
      </c>
      <c r="B1648" s="1" t="s">
        <v>3484</v>
      </c>
      <c r="C1648" s="32" t="s">
        <v>3485</v>
      </c>
      <c r="D1648" s="75"/>
      <c r="E1648" s="32"/>
      <c r="F1648" s="32"/>
      <c r="G1648" s="32"/>
      <c r="H1648" s="32"/>
      <c r="I1648" s="32"/>
      <c r="J1648" s="32"/>
      <c r="K1648" s="32"/>
      <c r="L1648" s="32"/>
      <c r="M1648" s="32"/>
      <c r="N1648" s="32"/>
      <c r="O1648" s="32"/>
      <c r="P1648" s="32"/>
      <c r="Q1648" s="32"/>
      <c r="R1648" s="32"/>
      <c r="S1648" s="32"/>
      <c r="T1648" s="32"/>
      <c r="U1648" s="32"/>
      <c r="V1648" s="32"/>
      <c r="W1648" s="32"/>
      <c r="X1648" s="32"/>
      <c r="Y1648" s="32"/>
      <c r="Z1648" s="32"/>
      <c r="AA1648" s="32"/>
    </row>
    <row r="1649" spans="1:27" ht="15" customHeight="1">
      <c r="A1649" s="78" t="s">
        <v>3486</v>
      </c>
      <c r="B1649" s="1" t="s">
        <v>3487</v>
      </c>
      <c r="C1649" s="32" t="s">
        <v>3488</v>
      </c>
      <c r="D1649" s="75"/>
      <c r="E1649" s="32"/>
      <c r="F1649" s="32"/>
      <c r="G1649" s="32"/>
      <c r="H1649" s="32"/>
      <c r="I1649" s="32"/>
      <c r="J1649" s="32"/>
      <c r="K1649" s="32"/>
      <c r="L1649" s="32"/>
      <c r="M1649" s="32"/>
      <c r="N1649" s="32"/>
      <c r="O1649" s="32"/>
      <c r="P1649" s="32"/>
      <c r="Q1649" s="32"/>
      <c r="R1649" s="32"/>
      <c r="S1649" s="32"/>
      <c r="T1649" s="32"/>
      <c r="U1649" s="32"/>
      <c r="V1649" s="32"/>
      <c r="W1649" s="32"/>
      <c r="X1649" s="32"/>
      <c r="Y1649" s="32"/>
      <c r="Z1649" s="32"/>
      <c r="AA1649" s="32"/>
    </row>
    <row r="1650" spans="1:27" ht="15.75" customHeight="1">
      <c r="A1650" s="32"/>
      <c r="B1650" s="32"/>
      <c r="C1650" s="32"/>
      <c r="D1650" s="75"/>
      <c r="E1650" s="32"/>
      <c r="F1650" s="32"/>
      <c r="G1650" s="32"/>
      <c r="H1650" s="32"/>
      <c r="I1650" s="32"/>
      <c r="J1650" s="32"/>
      <c r="K1650" s="32"/>
      <c r="L1650" s="32"/>
      <c r="M1650" s="32"/>
      <c r="N1650" s="32"/>
      <c r="O1650" s="32"/>
      <c r="P1650" s="32"/>
      <c r="Q1650" s="32"/>
      <c r="R1650" s="32"/>
      <c r="S1650" s="32"/>
      <c r="T1650" s="32"/>
      <c r="U1650" s="32"/>
      <c r="V1650" s="32"/>
      <c r="W1650" s="32"/>
      <c r="X1650" s="32"/>
      <c r="Y1650" s="32"/>
      <c r="Z1650" s="32"/>
      <c r="AA1650" s="32"/>
    </row>
    <row r="1651" spans="1:27" ht="15.75" customHeight="1">
      <c r="A1651" s="32">
        <v>7712</v>
      </c>
      <c r="B1651" s="32" t="s">
        <v>3489</v>
      </c>
      <c r="C1651" s="32" t="s">
        <v>3490</v>
      </c>
      <c r="D1651" s="75"/>
      <c r="E1651" s="32" t="s">
        <v>3491</v>
      </c>
      <c r="F1651" s="32"/>
      <c r="G1651" s="32"/>
      <c r="H1651" s="32"/>
      <c r="I1651" s="32"/>
      <c r="J1651" s="32"/>
      <c r="K1651" s="32"/>
      <c r="L1651" s="32"/>
      <c r="M1651" s="32"/>
      <c r="N1651" s="32"/>
      <c r="O1651" s="32"/>
      <c r="P1651" s="32"/>
      <c r="Q1651" s="32"/>
      <c r="R1651" s="32"/>
      <c r="S1651" s="32"/>
      <c r="T1651" s="32"/>
      <c r="U1651" s="32"/>
      <c r="V1651" s="32"/>
      <c r="W1651" s="32"/>
      <c r="X1651" s="32"/>
      <c r="Y1651" s="32"/>
      <c r="Z1651" s="32"/>
      <c r="AA1651" s="32"/>
    </row>
    <row r="1652" spans="1:27" ht="15.75" customHeight="1">
      <c r="A1652" s="32"/>
      <c r="B1652" s="32"/>
      <c r="C1652" s="32"/>
      <c r="D1652" s="75"/>
      <c r="E1652" s="32"/>
      <c r="F1652" s="32"/>
      <c r="G1652" s="32"/>
      <c r="H1652" s="32"/>
      <c r="I1652" s="32"/>
      <c r="J1652" s="32"/>
      <c r="K1652" s="32"/>
      <c r="L1652" s="32"/>
      <c r="M1652" s="32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  <c r="Y1652" s="32"/>
      <c r="Z1652" s="32"/>
      <c r="AA1652" s="32"/>
    </row>
    <row r="1653" spans="1:27" ht="15.75" customHeight="1">
      <c r="A1653" s="32"/>
      <c r="B1653" s="32"/>
      <c r="C1653" s="32"/>
      <c r="D1653" s="75"/>
      <c r="E1653" s="32"/>
      <c r="F1653" s="32"/>
      <c r="G1653" s="32"/>
      <c r="H1653" s="32"/>
      <c r="I1653" s="32"/>
      <c r="J1653" s="32"/>
      <c r="K1653" s="32"/>
      <c r="L1653" s="32"/>
      <c r="M1653" s="32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  <c r="Y1653" s="32"/>
      <c r="Z1653" s="32"/>
      <c r="AA1653" s="32"/>
    </row>
    <row r="1654" spans="1:27" ht="15.75" customHeight="1">
      <c r="A1654" s="32"/>
      <c r="B1654" s="32"/>
      <c r="C1654" s="32"/>
      <c r="D1654" s="75"/>
      <c r="E1654" s="32"/>
      <c r="F1654" s="32"/>
      <c r="G1654" s="32"/>
      <c r="H1654" s="32"/>
      <c r="I1654" s="32"/>
      <c r="J1654" s="32"/>
      <c r="K1654" s="32"/>
      <c r="L1654" s="32"/>
      <c r="M1654" s="32"/>
      <c r="N1654" s="32"/>
      <c r="O1654" s="32"/>
      <c r="P1654" s="32"/>
      <c r="Q1654" s="32"/>
      <c r="R1654" s="32"/>
      <c r="S1654" s="32"/>
      <c r="T1654" s="32"/>
      <c r="U1654" s="32"/>
      <c r="V1654" s="32"/>
      <c r="W1654" s="32"/>
      <c r="X1654" s="32"/>
      <c r="Y1654" s="32"/>
      <c r="Z1654" s="32"/>
      <c r="AA1654" s="32"/>
    </row>
    <row r="1655" spans="1:27" ht="15.75" customHeight="1">
      <c r="A1655" s="32"/>
      <c r="B1655" s="32"/>
      <c r="C1655" s="32"/>
      <c r="D1655" s="75"/>
      <c r="E1655" s="32"/>
      <c r="F1655" s="32"/>
      <c r="G1655" s="32"/>
      <c r="H1655" s="32"/>
      <c r="I1655" s="32"/>
      <c r="J1655" s="32"/>
      <c r="K1655" s="32"/>
      <c r="L1655" s="32"/>
      <c r="M1655" s="32"/>
      <c r="N1655" s="32"/>
      <c r="O1655" s="32"/>
      <c r="P1655" s="32"/>
      <c r="Q1655" s="32"/>
      <c r="R1655" s="32"/>
      <c r="S1655" s="32"/>
      <c r="T1655" s="32"/>
      <c r="U1655" s="32"/>
      <c r="V1655" s="32"/>
      <c r="W1655" s="32"/>
      <c r="X1655" s="32"/>
      <c r="Y1655" s="32"/>
      <c r="Z1655" s="32"/>
      <c r="AA1655" s="32"/>
    </row>
    <row r="1656" spans="1:27" ht="15.75" customHeight="1">
      <c r="A1656" s="32"/>
      <c r="B1656" s="32"/>
      <c r="C1656" s="32"/>
      <c r="D1656" s="75"/>
      <c r="E1656" s="32"/>
      <c r="F1656" s="32"/>
      <c r="G1656" s="32"/>
      <c r="H1656" s="32"/>
      <c r="I1656" s="32"/>
      <c r="J1656" s="32"/>
      <c r="K1656" s="32"/>
      <c r="L1656" s="32"/>
      <c r="M1656" s="32"/>
      <c r="N1656" s="32"/>
      <c r="O1656" s="32"/>
      <c r="P1656" s="32"/>
      <c r="Q1656" s="32"/>
      <c r="R1656" s="32"/>
      <c r="S1656" s="32"/>
      <c r="T1656" s="32"/>
      <c r="U1656" s="32"/>
      <c r="V1656" s="32"/>
      <c r="W1656" s="32"/>
      <c r="X1656" s="32"/>
      <c r="Y1656" s="32"/>
      <c r="Z1656" s="32"/>
      <c r="AA1656" s="32"/>
    </row>
    <row r="1657" spans="1:27" ht="15.75" customHeight="1">
      <c r="A1657" s="32"/>
      <c r="B1657" s="32"/>
      <c r="C1657" s="32"/>
      <c r="D1657" s="75"/>
      <c r="E1657" s="32"/>
      <c r="F1657" s="32"/>
      <c r="G1657" s="32"/>
      <c r="H1657" s="32"/>
      <c r="I1657" s="32"/>
      <c r="J1657" s="32"/>
      <c r="K1657" s="32"/>
      <c r="L1657" s="32"/>
      <c r="M1657" s="32"/>
      <c r="N1657" s="32"/>
      <c r="O1657" s="32"/>
      <c r="P1657" s="32"/>
      <c r="Q1657" s="32"/>
      <c r="R1657" s="32"/>
      <c r="S1657" s="32"/>
      <c r="T1657" s="32"/>
      <c r="U1657" s="32"/>
      <c r="V1657" s="32"/>
      <c r="W1657" s="32"/>
      <c r="X1657" s="32"/>
      <c r="Y1657" s="32"/>
      <c r="Z1657" s="32"/>
      <c r="AA1657" s="32"/>
    </row>
    <row r="1658" spans="1:27" ht="15.75" customHeight="1">
      <c r="A1658" s="32"/>
      <c r="B1658" s="32"/>
      <c r="C1658" s="32"/>
      <c r="D1658" s="75"/>
      <c r="E1658" s="32"/>
      <c r="F1658" s="32"/>
      <c r="G1658" s="32"/>
      <c r="H1658" s="32"/>
      <c r="I1658" s="32"/>
      <c r="J1658" s="32"/>
      <c r="K1658" s="32"/>
      <c r="L1658" s="32"/>
      <c r="M1658" s="32"/>
      <c r="N1658" s="32"/>
      <c r="O1658" s="32"/>
      <c r="P1658" s="32"/>
      <c r="Q1658" s="32"/>
      <c r="R1658" s="32"/>
      <c r="S1658" s="32"/>
      <c r="T1658" s="32"/>
      <c r="U1658" s="32"/>
      <c r="V1658" s="32"/>
      <c r="W1658" s="32"/>
      <c r="X1658" s="32"/>
      <c r="Y1658" s="32"/>
      <c r="Z1658" s="32"/>
      <c r="AA1658" s="32"/>
    </row>
    <row r="1659" spans="1:27" ht="15.75" customHeight="1">
      <c r="A1659" s="32"/>
      <c r="B1659" s="32"/>
      <c r="C1659" s="32"/>
      <c r="D1659" s="75"/>
      <c r="E1659" s="32"/>
      <c r="F1659" s="32"/>
      <c r="G1659" s="32"/>
      <c r="H1659" s="32"/>
      <c r="I1659" s="32"/>
      <c r="J1659" s="32"/>
      <c r="K1659" s="32"/>
      <c r="L1659" s="32"/>
      <c r="M1659" s="32"/>
      <c r="N1659" s="32"/>
      <c r="O1659" s="32"/>
      <c r="P1659" s="32"/>
      <c r="Q1659" s="32"/>
      <c r="R1659" s="32"/>
      <c r="S1659" s="32"/>
      <c r="T1659" s="32"/>
      <c r="U1659" s="32"/>
      <c r="V1659" s="32"/>
      <c r="W1659" s="32"/>
      <c r="X1659" s="32"/>
      <c r="Y1659" s="32"/>
      <c r="Z1659" s="32"/>
      <c r="AA1659" s="32"/>
    </row>
    <row r="1660" spans="1:27" ht="15.75" customHeight="1">
      <c r="A1660" s="32"/>
      <c r="B1660" s="32"/>
      <c r="C1660" s="32"/>
      <c r="D1660" s="75"/>
      <c r="E1660" s="32"/>
      <c r="F1660" s="32"/>
      <c r="G1660" s="32"/>
      <c r="H1660" s="32"/>
      <c r="I1660" s="32"/>
      <c r="J1660" s="32"/>
      <c r="K1660" s="32"/>
      <c r="L1660" s="32"/>
      <c r="M1660" s="32"/>
      <c r="N1660" s="32"/>
      <c r="O1660" s="32"/>
      <c r="P1660" s="32"/>
      <c r="Q1660" s="32"/>
      <c r="R1660" s="32"/>
      <c r="S1660" s="32"/>
      <c r="T1660" s="32"/>
      <c r="U1660" s="32"/>
      <c r="V1660" s="32"/>
      <c r="W1660" s="32"/>
      <c r="X1660" s="32"/>
      <c r="Y1660" s="32"/>
      <c r="Z1660" s="32"/>
      <c r="AA1660" s="32"/>
    </row>
  </sheetData>
  <autoFilter ref="A9:H348" xr:uid="{00000000-0009-0000-0000-000001000000}"/>
  <mergeCells count="13">
    <mergeCell ref="A1645:E1645"/>
    <mergeCell ref="A760:B760"/>
    <mergeCell ref="A1343:C1343"/>
    <mergeCell ref="A1358:B1358"/>
    <mergeCell ref="A1480:C1480"/>
    <mergeCell ref="A1489:C1489"/>
    <mergeCell ref="A1494:C1494"/>
    <mergeCell ref="A1499:C1499"/>
    <mergeCell ref="A1504:C1504"/>
    <mergeCell ref="A1509:C1509"/>
    <mergeCell ref="A1519:C1519"/>
    <mergeCell ref="A1579:E1579"/>
    <mergeCell ref="A1642:E1642"/>
  </mergeCells>
  <pageMargins left="0.75" right="0.25" top="0.5" bottom="0.5" header="0" footer="0"/>
  <pageSetup orientation="portrait"/>
  <rowBreaks count="2" manualBreakCount="2">
    <brk id="100" man="1"/>
    <brk id="252" man="1"/>
  </rowBreak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Normal</vt:lpstr>
      <vt:lpstr>Normal!Encabezado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</dc:creator>
  <cp:lastModifiedBy>Santiago Moragrega</cp:lastModifiedBy>
  <dcterms:created xsi:type="dcterms:W3CDTF">2010-11-30T18:19:05Z</dcterms:created>
  <dcterms:modified xsi:type="dcterms:W3CDTF">2026-01-13T18:53:58Z</dcterms:modified>
</cp:coreProperties>
</file>